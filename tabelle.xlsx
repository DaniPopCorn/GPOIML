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ilippo\Desktop\scuola\5DS\GPOI\progettoML\GPOIML\"/>
    </mc:Choice>
  </mc:AlternateContent>
  <xr:revisionPtr revIDLastSave="0" documentId="13_ncr:1_{28ADF464-0C3C-4763-9FD8-E3051E68B9B3}" xr6:coauthVersionLast="47" xr6:coauthVersionMax="47" xr10:uidLastSave="{00000000-0000-0000-0000-000000000000}"/>
  <bookViews>
    <workbookView xWindow="-108" yWindow="-108" windowWidth="23256" windowHeight="12456" xr2:uid="{68AE409F-05A7-4A91-8BD4-7F045AFE83EE}"/>
  </bookViews>
  <sheets>
    <sheet name="GUI" sheetId="1" r:id="rId1"/>
    <sheet name="data" sheetId="2" r:id="rId2"/>
    <sheet name="demand_chart" sheetId="4" r:id="rId3"/>
    <sheet name="time_series" sheetId="3" r:id="rId4"/>
    <sheet name="percentage_differe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5" l="1"/>
  <c r="C24" i="5"/>
  <c r="D24" i="5"/>
  <c r="E24" i="5"/>
  <c r="F24" i="5"/>
  <c r="G24" i="5"/>
  <c r="H24" i="5"/>
  <c r="I24" i="5"/>
  <c r="J24" i="5"/>
  <c r="K24" i="5"/>
  <c r="L25" i="5"/>
  <c r="M24" i="5"/>
  <c r="N24" i="5"/>
  <c r="O24" i="5"/>
  <c r="P24" i="5"/>
  <c r="Q24" i="5"/>
  <c r="I23" i="5"/>
  <c r="C23" i="5"/>
  <c r="D23" i="5"/>
  <c r="E23" i="5"/>
  <c r="F23" i="5"/>
  <c r="G23" i="5"/>
  <c r="H23" i="5"/>
  <c r="J23" i="5"/>
  <c r="K23" i="5"/>
  <c r="L23" i="5"/>
  <c r="M23" i="5"/>
  <c r="N23" i="5"/>
  <c r="O23" i="5"/>
  <c r="P23" i="5"/>
  <c r="Q23" i="5"/>
  <c r="B2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3" i="5"/>
  <c r="A24" i="5"/>
  <c r="A23" i="5"/>
  <c r="V9" i="3"/>
  <c r="V10" i="3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2" i="4"/>
  <c r="B1" i="4"/>
  <c r="A18" i="4"/>
  <c r="A15" i="4"/>
  <c r="A16" i="4"/>
  <c r="A17" i="4"/>
  <c r="A3" i="4"/>
  <c r="A4" i="4"/>
  <c r="A5" i="4"/>
  <c r="A6" i="4"/>
  <c r="A7" i="4"/>
  <c r="A8" i="4"/>
  <c r="A9" i="4"/>
  <c r="A10" i="4"/>
  <c r="A11" i="4"/>
  <c r="A12" i="4"/>
  <c r="A13" i="4"/>
  <c r="A14" i="4"/>
  <c r="A2" i="4"/>
  <c r="U9" i="3"/>
  <c r="T9" i="3"/>
  <c r="S9" i="3"/>
  <c r="R9" i="3"/>
  <c r="Q9" i="3"/>
  <c r="Q10" i="3"/>
  <c r="P9" i="3"/>
  <c r="O9" i="3"/>
  <c r="N9" i="3"/>
  <c r="M9" i="3"/>
  <c r="L9" i="3"/>
  <c r="L10" i="3"/>
  <c r="K10" i="3"/>
  <c r="K9" i="3"/>
  <c r="J9" i="3"/>
  <c r="I9" i="3"/>
  <c r="H9" i="3"/>
  <c r="G9" i="3"/>
  <c r="F9" i="3"/>
  <c r="U10" i="3"/>
  <c r="T10" i="3"/>
  <c r="S10" i="3"/>
  <c r="R10" i="3"/>
  <c r="P10" i="3"/>
  <c r="O10" i="3"/>
  <c r="N10" i="3"/>
  <c r="M10" i="3"/>
  <c r="J10" i="3"/>
  <c r="I10" i="3"/>
  <c r="H10" i="3"/>
  <c r="G10" i="3"/>
  <c r="F10" i="3"/>
</calcChain>
</file>

<file path=xl/sharedStrings.xml><?xml version="1.0" encoding="utf-8"?>
<sst xmlns="http://schemas.openxmlformats.org/spreadsheetml/2006/main" count="58" uniqueCount="24">
  <si>
    <t>Mining and quarrying</t>
  </si>
  <si>
    <t>Manufacturing activities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</si>
  <si>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</si>
  <si>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</si>
  <si>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</si>
  <si>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</si>
  <si>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</si>
  <si>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</si>
  <si>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 services</t>
  </si>
  <si>
    <t>Financial and insurance activities</t>
  </si>
  <si>
    <t>Professional, scientific and technical activities</t>
  </si>
  <si>
    <t>Rental, travel agency, business support services</t>
  </si>
  <si>
    <t>Real estate, professional and rental activities (Grouped)</t>
  </si>
  <si>
    <t>Education</t>
  </si>
  <si>
    <t>Human health and social work activities</t>
  </si>
  <si>
    <t>Arts, sports, entertainment and recreation</t>
  </si>
  <si>
    <t>Other service activities</t>
  </si>
  <si>
    <t>Demand (% vacancy)</t>
  </si>
  <si>
    <t xml:space="preserve">Supply (Employed in thousands) </t>
  </si>
  <si>
    <t>TERTIARY SECTOR</t>
  </si>
  <si>
    <t>SECONDARY SECTOR</t>
  </si>
  <si>
    <t>YEAR</t>
  </si>
  <si>
    <t>Demand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</si>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</sst>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4" fillId="4" borderId="0" xfId="0" applyFont="1" applyFill="1" applyAlignment="1">
      <alignment horizontal="right" wrapText="1"/>
    </xf>
    <xf numFmtId="2" fontId="0" fillId="0" borderId="0" xfId="0" applyNumberFormat="1"/>
    <xf numFmtId="0" fontId="5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0" borderId="9" xfId="0" applyBorder="1"/>
    <xf numFmtId="0" fontId="0" fillId="0" borderId="2" xfId="0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0" borderId="0" xfId="0" applyFont="1"/>
    <xf numFmtId="0" fontId="1" fillId="6" borderId="5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2" borderId="7" xfId="0" applyFill="1" applyBorder="1"/>
    <xf numFmtId="0" fontId="0" fillId="3" borderId="7" xfId="0" applyFill="1" applyBorder="1"/>
    <xf numFmtId="0" fontId="0" fillId="3" borderId="14" xfId="0" applyFill="1" applyBorder="1"/>
    <xf numFmtId="0" fontId="0" fillId="0" borderId="6" xfId="0" applyBorder="1" applyAlignment="1">
      <alignment horizontal="center"/>
    </xf>
    <xf numFmtId="0" fontId="1" fillId="2" borderId="6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0" fillId="2" borderId="15" xfId="0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13" xfId="0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6" xfId="0" applyBorder="1"/>
    <xf numFmtId="0" fontId="0" fillId="0" borderId="11" xfId="0" applyBorder="1"/>
    <xf numFmtId="0" fontId="0" fillId="0" borderId="8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15" xfId="0" applyBorder="1"/>
    <xf numFmtId="0" fontId="0" fillId="0" borderId="7" xfId="0" applyBorder="1"/>
    <xf numFmtId="0" fontId="0" fillId="0" borderId="14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Demand of year 2026 by employment in percentage of vacancy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43097969191734775"/>
          <c:y val="9.912173463175078E-2"/>
          <c:w val="0.54956139109674706"/>
          <c:h val="0.8462791994224737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demand_chart!$A$2:$A$18</c:f>
              <c:strCache>
                <c:ptCount val="17"/>
                <c:pt idx="0">
                  <c:v>Mining and quarrying</c:v>
                </c:pt>
                <c:pt idx="1">
                  <c:v>Manufacturing activities</c:v>
                </c:pt>
                <c:pt idx="2">
                  <c:v>Electricity, gas, steam and air conditioning supply</c:v>
                </c:pt>
                <c:pt idx="3">
                  <c:v>Water supply; sewerage, waste management and remediation activities</c:v>
                </c:pt>
                <c:pt idx="4">
                  <c:v>Construction</c:v>
                </c:pt>
                <c:pt idx="5">
                  <c:v>Wholesale and retail trade; repair of motor vehicles and motorcycles</c:v>
                </c:pt>
                <c:pt idx="6">
                  <c:v>Transportation and storage</c:v>
                </c:pt>
                <c:pt idx="7">
                  <c:v>Accommodation and food service activities</c:v>
                </c:pt>
                <c:pt idx="8">
                  <c:v>Information and communication services</c:v>
                </c:pt>
                <c:pt idx="9">
                  <c:v>Financial and insurance activities</c:v>
                </c:pt>
                <c:pt idx="10">
                  <c:v>Professional, scientific and technical activities</c:v>
                </c:pt>
                <c:pt idx="11">
                  <c:v>Rental, travel agency, business support services</c:v>
                </c:pt>
                <c:pt idx="12">
                  <c:v>Real estate, professional and rental activities (Grouped)</c:v>
                </c:pt>
                <c:pt idx="13">
                  <c:v>Education</c:v>
                </c:pt>
                <c:pt idx="14">
                  <c:v>Human health and social work activities</c:v>
                </c:pt>
                <c:pt idx="15">
                  <c:v>Arts, sports, entertainment and recreation</c:v>
                </c:pt>
                <c:pt idx="16">
                  <c:v>Other service activities</c:v>
                </c:pt>
              </c:strCache>
            </c:strRef>
          </c:cat>
          <c:val>
            <c:numRef>
              <c:f>demand_chart!$B$2:$B$18</c:f>
              <c:numCache>
                <c:formatCode>General</c:formatCode>
                <c:ptCount val="17"/>
                <c:pt idx="0">
                  <c:v>0.125</c:v>
                </c:pt>
                <c:pt idx="1">
                  <c:v>0.47499999999999998</c:v>
                </c:pt>
                <c:pt idx="2">
                  <c:v>0.32500000000000001</c:v>
                </c:pt>
                <c:pt idx="3">
                  <c:v>0.42499999999999999</c:v>
                </c:pt>
                <c:pt idx="4">
                  <c:v>0.67500000000000004</c:v>
                </c:pt>
                <c:pt idx="5">
                  <c:v>0.95</c:v>
                </c:pt>
                <c:pt idx="6">
                  <c:v>0.55000000000000004</c:v>
                </c:pt>
                <c:pt idx="7">
                  <c:v>0.95</c:v>
                </c:pt>
                <c:pt idx="8">
                  <c:v>0.67500000000000004</c:v>
                </c:pt>
                <c:pt idx="9">
                  <c:v>0.6</c:v>
                </c:pt>
                <c:pt idx="10">
                  <c:v>1.05</c:v>
                </c:pt>
                <c:pt idx="11">
                  <c:v>0.72499999999999998</c:v>
                </c:pt>
                <c:pt idx="12">
                  <c:v>0.82499999999999996</c:v>
                </c:pt>
                <c:pt idx="13">
                  <c:v>0.67500000000000004</c:v>
                </c:pt>
                <c:pt idx="14">
                  <c:v>1.075</c:v>
                </c:pt>
                <c:pt idx="15">
                  <c:v>1.45</c:v>
                </c:pt>
                <c:pt idx="16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B-4AAD-A97B-59201C0041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61604559"/>
        <c:axId val="1561606639"/>
      </c:barChart>
      <c:catAx>
        <c:axId val="156160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1606639"/>
        <c:crosses val="autoZero"/>
        <c:auto val="1"/>
        <c:lblAlgn val="ctr"/>
        <c:lblOffset val="100"/>
        <c:noMultiLvlLbl val="0"/>
      </c:catAx>
      <c:valAx>
        <c:axId val="15616066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160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1" i="0" u="none" strike="noStrike" baseline="0">
                <a:latin typeface="+mn-lt"/>
              </a:rPr>
              <a:t>Supply of year 2026 by sector. Employed in thousands </a:t>
            </a:r>
            <a:endParaRPr lang="it-IT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520452414756369E-2"/>
          <c:y val="0.15568519059368921"/>
          <c:w val="0.73420645323057931"/>
          <c:h val="0.7545018674162483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245-477D-92F6-2E2C3AB74E34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245-477D-92F6-2E2C3AB74E34}"/>
              </c:ext>
            </c:extLst>
          </c:dPt>
          <c:dLbls>
            <c:dLbl>
              <c:idx val="0"/>
              <c:layout>
                <c:manualLayout>
                  <c:x val="-0.20008737588749126"/>
                  <c:y val="4.66370445986598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11D5ACB-F3CA-48DD-94CF-1D4EFACBF76E}" type="VALUE">
                      <a:rPr lang="en-US" sz="2000"/>
                      <a:pPr>
                        <a:defRPr/>
                      </a:pPr>
                      <a:t>[VALORE]</a:t>
                    </a:fld>
                    <a:endParaRPr lang="it-IT"/>
                  </a:p>
                </c:rich>
              </c:tx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22410836426832"/>
                      <c:h val="9.124203027321370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245-477D-92F6-2E2C3AB74E34}"/>
                </c:ext>
              </c:extLst>
            </c:dLbl>
            <c:dLbl>
              <c:idx val="1"/>
              <c:layout>
                <c:manualLayout>
                  <c:x val="0.22712621046688189"/>
                  <c:y val="-0.124825495606935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6E2A6EF-1FFE-4618-942D-A178FB067986}" type="VALUE">
                      <a:rPr lang="en-US" sz="2000"/>
                      <a:pPr>
                        <a:defRPr/>
                      </a:pPr>
                      <a:t>[VALORE]</a:t>
                    </a:fld>
                    <a:endParaRPr lang="it-IT"/>
                  </a:p>
                </c:rich>
              </c:tx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26698869138002"/>
                      <c:h val="9.640667349622579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245-477D-92F6-2E2C3AB74E3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data!$E$9:$E$25</c15:sqref>
                  </c15:fullRef>
                </c:ext>
              </c:extLst>
              <c:f>(data!$E$9,data!$E$14)</c:f>
              <c:strCache>
                <c:ptCount val="2"/>
                <c:pt idx="0">
                  <c:v>SECONDARY SECTOR</c:v>
                </c:pt>
                <c:pt idx="1">
                  <c:v>TERTIARY SECTOR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data!$AN$9:$AN$25</c15:sqref>
                  </c15:fullRef>
                </c:ext>
              </c:extLst>
              <c:f>(data!$AN$9,data!$AN$14)</c:f>
              <c:numCache>
                <c:formatCode>General</c:formatCode>
                <c:ptCount val="2"/>
                <c:pt idx="0">
                  <c:v>6319.5</c:v>
                </c:pt>
                <c:pt idx="1">
                  <c:v>15175.5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2245-477D-92F6-2E2C3AB74E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2714707488939"/>
          <c:y val="0.36655231700931357"/>
          <c:w val="0.21730181669742424"/>
          <c:h val="0.2938913352543104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rtl="0">
            <a:defRPr sz="1780" b="0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Supply</a:t>
            </a:r>
            <a:r>
              <a:rPr lang="it-IT" baseline="0"/>
              <a:t> by year. Employed in thousands</a:t>
            </a:r>
            <a:r>
              <a:rPr lang="it-I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time_series!$E$9</c:f>
              <c:strCache>
                <c:ptCount val="1"/>
                <c:pt idx="0">
                  <c:v>SECONDARY SECTOR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9600" tIns="18000" rIns="38100" bIns="19050" anchor="t" anchorCtr="0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time_series!$F$8:$V$8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time_series!$F$9:$V$9</c:f>
              <c:numCache>
                <c:formatCode>General</c:formatCode>
                <c:ptCount val="17"/>
                <c:pt idx="0">
                  <c:v>6319.5</c:v>
                </c:pt>
                <c:pt idx="1">
                  <c:v>6278.25</c:v>
                </c:pt>
                <c:pt idx="2">
                  <c:v>6076.5</c:v>
                </c:pt>
                <c:pt idx="3">
                  <c:v>5848</c:v>
                </c:pt>
                <c:pt idx="4">
                  <c:v>5856.25</c:v>
                </c:pt>
                <c:pt idx="5">
                  <c:v>5855.75</c:v>
                </c:pt>
                <c:pt idx="6">
                  <c:v>5856.25</c:v>
                </c:pt>
                <c:pt idx="7">
                  <c:v>5850.75</c:v>
                </c:pt>
                <c:pt idx="8">
                  <c:v>5898.75</c:v>
                </c:pt>
                <c:pt idx="9">
                  <c:v>5976.25</c:v>
                </c:pt>
                <c:pt idx="10">
                  <c:v>5977</c:v>
                </c:pt>
                <c:pt idx="11">
                  <c:v>5913.75</c:v>
                </c:pt>
                <c:pt idx="12">
                  <c:v>6001</c:v>
                </c:pt>
                <c:pt idx="13">
                  <c:v>6197.75</c:v>
                </c:pt>
                <c:pt idx="14">
                  <c:v>6284.25</c:v>
                </c:pt>
                <c:pt idx="15">
                  <c:v>6370</c:v>
                </c:pt>
                <c:pt idx="16">
                  <c:v>6319.5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3-4448-827B-0CDE0296545B}"/>
            </c:ext>
          </c:extLst>
        </c:ser>
        <c:ser>
          <c:idx val="1"/>
          <c:order val="1"/>
          <c:tx>
            <c:strRef>
              <c:f>time_series!$E$10</c:f>
              <c:strCache>
                <c:ptCount val="1"/>
                <c:pt idx="0">
                  <c:v>TERTIARY SECTOR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time_series!$F$8:$V$8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time_series!$F$10:$V$10</c:f>
              <c:numCache>
                <c:formatCode>General</c:formatCode>
                <c:ptCount val="17"/>
                <c:pt idx="0">
                  <c:v>15175.5</c:v>
                </c:pt>
                <c:pt idx="1">
                  <c:v>15305</c:v>
                </c:pt>
                <c:pt idx="2">
                  <c:v>15386.25</c:v>
                </c:pt>
                <c:pt idx="3">
                  <c:v>15226.25</c:v>
                </c:pt>
                <c:pt idx="4">
                  <c:v>15270.5</c:v>
                </c:pt>
                <c:pt idx="5">
                  <c:v>15438</c:v>
                </c:pt>
                <c:pt idx="6">
                  <c:v>15270.5</c:v>
                </c:pt>
                <c:pt idx="7">
                  <c:v>15724.5</c:v>
                </c:pt>
                <c:pt idx="8">
                  <c:v>15973.5</c:v>
                </c:pt>
                <c:pt idx="9">
                  <c:v>16119.75</c:v>
                </c:pt>
                <c:pt idx="10">
                  <c:v>16228.25</c:v>
                </c:pt>
                <c:pt idx="11">
                  <c:v>15560.75</c:v>
                </c:pt>
                <c:pt idx="12">
                  <c:v>15640.75</c:v>
                </c:pt>
                <c:pt idx="13">
                  <c:v>16047</c:v>
                </c:pt>
                <c:pt idx="14">
                  <c:v>16444</c:v>
                </c:pt>
                <c:pt idx="15">
                  <c:v>16762.25</c:v>
                </c:pt>
                <c:pt idx="16">
                  <c:v>15175.5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C3-4448-827B-0CDE029654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0959727"/>
        <c:axId val="190958287"/>
      </c:lineChart>
      <c:catAx>
        <c:axId val="190959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958287"/>
        <c:crosses val="autoZero"/>
        <c:auto val="1"/>
        <c:lblAlgn val="ctr"/>
        <c:lblOffset val="100"/>
        <c:noMultiLvlLbl val="0"/>
      </c:catAx>
      <c:valAx>
        <c:axId val="190958287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/>
                  <a:t>Offer (Thousands</a:t>
                </a:r>
                <a:r>
                  <a:rPr lang="it-IT" sz="1200" baseline="0"/>
                  <a:t> of employed)</a:t>
                </a:r>
                <a:endParaRPr lang="it-IT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9095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/>
              <a:t>Percentage</a:t>
            </a:r>
            <a:r>
              <a:rPr lang="it-IT" sz="1800" baseline="0"/>
              <a:t> difference in demand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percentage_difference!$A$3</c:f>
              <c:strCache>
                <c:ptCount val="1"/>
                <c:pt idx="0">
                  <c:v>Mining and quarrying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percentage_difference!$B$2:$Q$2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percentage_difference!$B$3:$Q$3</c:f>
              <c:numCache>
                <c:formatCode>General</c:formatCode>
                <c:ptCount val="16"/>
                <c:pt idx="0">
                  <c:v>39.999999999999993</c:v>
                </c:pt>
                <c:pt idx="1">
                  <c:v>85.714285714285737</c:v>
                </c:pt>
                <c:pt idx="2">
                  <c:v>46.153846153846139</c:v>
                </c:pt>
                <c:pt idx="3">
                  <c:v>-68.421052631578931</c:v>
                </c:pt>
                <c:pt idx="4">
                  <c:v>-16.666666666666664</c:v>
                </c:pt>
                <c:pt idx="5">
                  <c:v>120.00000000000001</c:v>
                </c:pt>
                <c:pt idx="6">
                  <c:v>109.09090909090907</c:v>
                </c:pt>
                <c:pt idx="7">
                  <c:v>130.43478260869566</c:v>
                </c:pt>
                <c:pt idx="8">
                  <c:v>-9.433962264150944</c:v>
                </c:pt>
                <c:pt idx="9">
                  <c:v>-81.25</c:v>
                </c:pt>
                <c:pt idx="10">
                  <c:v>77.777777777777786</c:v>
                </c:pt>
                <c:pt idx="11">
                  <c:v>187.49999999999994</c:v>
                </c:pt>
                <c:pt idx="12">
                  <c:v>19.565217391304358</c:v>
                </c:pt>
                <c:pt idx="13">
                  <c:v>-1.8181818181818119</c:v>
                </c:pt>
                <c:pt idx="14">
                  <c:v>-57.407407407407419</c:v>
                </c:pt>
                <c:pt idx="15">
                  <c:v>-78.260869565217391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F-4B7D-8C80-FC1EA268B5F8}"/>
            </c:ext>
          </c:extLst>
        </c:ser>
        <c:ser>
          <c:idx val="3"/>
          <c:order val="1"/>
          <c:tx>
            <c:strRef>
              <c:f>percentage_difference!$A$4</c:f>
              <c:strCache>
                <c:ptCount val="1"/>
                <c:pt idx="0">
                  <c:v>Manufacturing activities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percentage_difference!$B$2:$Q$2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percentage_difference!$B$4:$Q$4</c:f>
              <c:numCache>
                <c:formatCode>General</c:formatCode>
                <c:ptCount val="16"/>
                <c:pt idx="0">
                  <c:v>21.052631578947363</c:v>
                </c:pt>
                <c:pt idx="1">
                  <c:v>-26.086956521739125</c:v>
                </c:pt>
                <c:pt idx="2">
                  <c:v>-5.882352941176463</c:v>
                </c:pt>
                <c:pt idx="3">
                  <c:v>24.999999999999993</c:v>
                </c:pt>
                <c:pt idx="4">
                  <c:v>25</c:v>
                </c:pt>
                <c:pt idx="5">
                  <c:v>8.0000000000000071</c:v>
                </c:pt>
                <c:pt idx="6">
                  <c:v>25.925925925925913</c:v>
                </c:pt>
                <c:pt idx="7">
                  <c:v>14.705882352941178</c:v>
                </c:pt>
                <c:pt idx="8">
                  <c:v>-7.692307692307689</c:v>
                </c:pt>
                <c:pt idx="9">
                  <c:v>-33.333333333333336</c:v>
                </c:pt>
                <c:pt idx="10">
                  <c:v>129.16666666666669</c:v>
                </c:pt>
                <c:pt idx="11">
                  <c:v>23.636363636363633</c:v>
                </c:pt>
                <c:pt idx="12">
                  <c:v>0</c:v>
                </c:pt>
                <c:pt idx="13">
                  <c:v>-11.764705882352938</c:v>
                </c:pt>
                <c:pt idx="14">
                  <c:v>-8.3333333333333321</c:v>
                </c:pt>
                <c:pt idx="15">
                  <c:v>-65.454545454545453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F-4B7D-8C80-FC1EA268B5F8}"/>
            </c:ext>
          </c:extLst>
        </c:ser>
        <c:ser>
          <c:idx val="5"/>
          <c:order val="3"/>
          <c:tx>
            <c:strRef>
              <c:f>percentage_difference!$A$6</c:f>
              <c:strCache>
                <c:ptCount val="1"/>
                <c:pt idx="0">
                  <c:v>Water supply; sewerage, waste management and remediation activities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percentage_difference!$B$2:$Q$2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percentage_difference!$B$6:$Q$6</c:f>
              <c:numCache>
                <c:formatCode>General</c:formatCode>
                <c:ptCount val="16"/>
                <c:pt idx="0">
                  <c:v>52.941176470588246</c:v>
                </c:pt>
                <c:pt idx="1">
                  <c:v>-50</c:v>
                </c:pt>
                <c:pt idx="2">
                  <c:v>-7.6923076923076987</c:v>
                </c:pt>
                <c:pt idx="3">
                  <c:v>-16.666666666666664</c:v>
                </c:pt>
                <c:pt idx="4">
                  <c:v>0</c:v>
                </c:pt>
                <c:pt idx="5">
                  <c:v>60.000000000000007</c:v>
                </c:pt>
                <c:pt idx="6">
                  <c:v>31.25</c:v>
                </c:pt>
                <c:pt idx="7">
                  <c:v>38.095238095238088</c:v>
                </c:pt>
                <c:pt idx="8">
                  <c:v>10.344827586206906</c:v>
                </c:pt>
                <c:pt idx="9">
                  <c:v>9.3749999999999947</c:v>
                </c:pt>
                <c:pt idx="10">
                  <c:v>28.571428571428569</c:v>
                </c:pt>
                <c:pt idx="11">
                  <c:v>2.2222222222222143</c:v>
                </c:pt>
                <c:pt idx="12">
                  <c:v>39.130434782608717</c:v>
                </c:pt>
                <c:pt idx="13">
                  <c:v>-29.687500000000007</c:v>
                </c:pt>
                <c:pt idx="14">
                  <c:v>-2.2222222222222143</c:v>
                </c:pt>
                <c:pt idx="15">
                  <c:v>-61.363636363636367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FF-4B7D-8C80-FC1EA268B5F8}"/>
            </c:ext>
          </c:extLst>
        </c:ser>
        <c:ser>
          <c:idx val="6"/>
          <c:order val="4"/>
          <c:tx>
            <c:strRef>
              <c:f>percentage_difference!$A$7</c:f>
              <c:strCache>
                <c:ptCount val="1"/>
                <c:pt idx="0">
                  <c:v>Construction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percentage_difference!$B$2:$Q$2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percentage_difference!$B$7:$Q$7</c:f>
              <c:numCache>
                <c:formatCode>General</c:formatCode>
                <c:ptCount val="16"/>
                <c:pt idx="0">
                  <c:v>3.7037037037036904</c:v>
                </c:pt>
                <c:pt idx="1">
                  <c:v>-3.5714285714285587</c:v>
                </c:pt>
                <c:pt idx="2">
                  <c:v>-29.62962962962964</c:v>
                </c:pt>
                <c:pt idx="3">
                  <c:v>36.842105263157904</c:v>
                </c:pt>
                <c:pt idx="4">
                  <c:v>-3.8461538461538494</c:v>
                </c:pt>
                <c:pt idx="5">
                  <c:v>11.999999999999993</c:v>
                </c:pt>
                <c:pt idx="6">
                  <c:v>46.428571428571423</c:v>
                </c:pt>
                <c:pt idx="7">
                  <c:v>46.341463414634163</c:v>
                </c:pt>
                <c:pt idx="8">
                  <c:v>9.9999999999999929</c:v>
                </c:pt>
                <c:pt idx="9">
                  <c:v>-28.787878787878778</c:v>
                </c:pt>
                <c:pt idx="10">
                  <c:v>61.702127659574458</c:v>
                </c:pt>
                <c:pt idx="11">
                  <c:v>21.052631578947363</c:v>
                </c:pt>
                <c:pt idx="12">
                  <c:v>21.739130434782609</c:v>
                </c:pt>
                <c:pt idx="13">
                  <c:v>-6.2499999999999938</c:v>
                </c:pt>
                <c:pt idx="14">
                  <c:v>-17.142857142857149</c:v>
                </c:pt>
                <c:pt idx="15">
                  <c:v>-68.965517241379303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FF-4B7D-8C80-FC1EA268B5F8}"/>
            </c:ext>
          </c:extLst>
        </c:ser>
        <c:ser>
          <c:idx val="7"/>
          <c:order val="5"/>
          <c:tx>
            <c:strRef>
              <c:f>percentage_difference!$A$8</c:f>
              <c:strCache>
                <c:ptCount val="1"/>
                <c:pt idx="0">
                  <c:v>Wholesale and retail trade; repair of motor vehicles and motorcycles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percentage_difference!$B$2:$Q$2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percentage_difference!$B$8:$Q$8</c:f>
              <c:numCache>
                <c:formatCode>General</c:formatCode>
                <c:ptCount val="16"/>
                <c:pt idx="0">
                  <c:v>-5.2631578947368354</c:v>
                </c:pt>
                <c:pt idx="1">
                  <c:v>-33.333333333333336</c:v>
                </c:pt>
                <c:pt idx="2">
                  <c:v>-29.166666666666668</c:v>
                </c:pt>
                <c:pt idx="3">
                  <c:v>29.411764705882366</c:v>
                </c:pt>
                <c:pt idx="4">
                  <c:v>22.727272727272727</c:v>
                </c:pt>
                <c:pt idx="5">
                  <c:v>14.814814814814811</c:v>
                </c:pt>
                <c:pt idx="6">
                  <c:v>16.129032258064516</c:v>
                </c:pt>
                <c:pt idx="7">
                  <c:v>13.888888888888875</c:v>
                </c:pt>
                <c:pt idx="8">
                  <c:v>12.195121951219514</c:v>
                </c:pt>
                <c:pt idx="9">
                  <c:v>-30.434782608695642</c:v>
                </c:pt>
                <c:pt idx="10">
                  <c:v>78.125</c:v>
                </c:pt>
                <c:pt idx="11">
                  <c:v>29.824561403508774</c:v>
                </c:pt>
                <c:pt idx="12">
                  <c:v>-12.162162162162167</c:v>
                </c:pt>
                <c:pt idx="13">
                  <c:v>-7.6923076923076925</c:v>
                </c:pt>
                <c:pt idx="14">
                  <c:v>-3.3333333333333361</c:v>
                </c:pt>
                <c:pt idx="15">
                  <c:v>-34.482758620689658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FF-4B7D-8C80-FC1EA268B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810720"/>
        <c:axId val="1922812160"/>
        <c:extLst>
          <c:ext xmlns:c15="http://schemas.microsoft.com/office/drawing/2012/chart" uri="{02D57815-91ED-43cb-92C2-25804820EDAC}">
            <c15:filteredLine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percentage_difference!$A$5</c15:sqref>
                        </c15:formulaRef>
                      </c:ext>
                    </c:extLst>
                    <c:strCache>
                      <c:ptCount val="1"/>
                      <c:pt idx="0">
                        <c:v>Electricity, gas, steam and air conditioning supply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percentage_difference!$B$5:$Q$5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-53.846153846153854</c:v>
                      </c:pt>
                      <c:pt idx="2">
                        <c:v>416.66666666666669</c:v>
                      </c:pt>
                      <c:pt idx="3">
                        <c:v>-25.806451612903235</c:v>
                      </c:pt>
                      <c:pt idx="4">
                        <c:v>-52.173913043478251</c:v>
                      </c:pt>
                      <c:pt idx="5">
                        <c:v>127.27272727272725</c:v>
                      </c:pt>
                      <c:pt idx="6">
                        <c:v>-15.999999999999998</c:v>
                      </c:pt>
                      <c:pt idx="7">
                        <c:v>4.7619047619047654</c:v>
                      </c:pt>
                      <c:pt idx="8">
                        <c:v>27.272727272727256</c:v>
                      </c:pt>
                      <c:pt idx="9">
                        <c:v>-24.999999999999993</c:v>
                      </c:pt>
                      <c:pt idx="10">
                        <c:v>80.952380952380935</c:v>
                      </c:pt>
                      <c:pt idx="11">
                        <c:v>13.157894736842104</c:v>
                      </c:pt>
                      <c:pt idx="12">
                        <c:v>-9.3023255813953476</c:v>
                      </c:pt>
                      <c:pt idx="13">
                        <c:v>12.820512820512834</c:v>
                      </c:pt>
                      <c:pt idx="14">
                        <c:v>-25.000000000000011</c:v>
                      </c:pt>
                      <c:pt idx="15">
                        <c:v>-60.606060606060609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5FF-4B7D-8C80-FC1EA268B5F8}"/>
                  </c:ext>
                </c:extLst>
              </c15:ser>
            </c15:filteredLineSeries>
            <c15:filteredLineSeries>
              <c15:ser>
                <c:idx val="8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percentage_difference!$A$9</c15:sqref>
                        </c15:formulaRef>
                      </c:ext>
                    </c:extLst>
                    <c:strCache>
                      <c:ptCount val="1"/>
                      <c:pt idx="0">
                        <c:v>Transportation and storage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percentage_difference!$B$9:$Q$9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-9.0909090909090988</c:v>
                      </c:pt>
                      <c:pt idx="1">
                        <c:v>-30.000000000000004</c:v>
                      </c:pt>
                      <c:pt idx="2">
                        <c:v>-28.571428571428566</c:v>
                      </c:pt>
                      <c:pt idx="3">
                        <c:v>10.000000000000009</c:v>
                      </c:pt>
                      <c:pt idx="4">
                        <c:v>45.454545454545453</c:v>
                      </c:pt>
                      <c:pt idx="5">
                        <c:v>-6.2500000000000053</c:v>
                      </c:pt>
                      <c:pt idx="6">
                        <c:v>80.000000000000014</c:v>
                      </c:pt>
                      <c:pt idx="7">
                        <c:v>7.4074074074073977</c:v>
                      </c:pt>
                      <c:pt idx="8">
                        <c:v>27.586206896551737</c:v>
                      </c:pt>
                      <c:pt idx="9">
                        <c:v>-32.432432432432435</c:v>
                      </c:pt>
                      <c:pt idx="10">
                        <c:v>63.999999999999993</c:v>
                      </c:pt>
                      <c:pt idx="11">
                        <c:v>24.390243902439028</c:v>
                      </c:pt>
                      <c:pt idx="12">
                        <c:v>1.960784313725501</c:v>
                      </c:pt>
                      <c:pt idx="13">
                        <c:v>7.6923076923076819</c:v>
                      </c:pt>
                      <c:pt idx="14">
                        <c:v>-14.285714285714283</c:v>
                      </c:pt>
                      <c:pt idx="15">
                        <c:v>-54.166666666666664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5FF-4B7D-8C80-FC1EA268B5F8}"/>
                  </c:ext>
                </c:extLst>
              </c15:ser>
            </c15:filteredLineSeries>
            <c15:filteredLineSeries>
              <c15:ser>
                <c:idx val="9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percentage_difference!$A$10</c15:sqref>
                        </c15:formulaRef>
                      </c:ext>
                    </c:extLst>
                    <c:strCache>
                      <c:ptCount val="1"/>
                      <c:pt idx="0">
                        <c:v>Accommodation and food service activities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percentage_difference!$B$10:$Q$10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18.421052631578952</c:v>
                      </c:pt>
                      <c:pt idx="1">
                        <c:v>-15.555555555555559</c:v>
                      </c:pt>
                      <c:pt idx="2">
                        <c:v>-13.157894736842104</c:v>
                      </c:pt>
                      <c:pt idx="3">
                        <c:v>12.121212121212132</c:v>
                      </c:pt>
                      <c:pt idx="4">
                        <c:v>-2.7027027027027049</c:v>
                      </c:pt>
                      <c:pt idx="5">
                        <c:v>16.666666666666668</c:v>
                      </c:pt>
                      <c:pt idx="6">
                        <c:v>52.380952380952387</c:v>
                      </c:pt>
                      <c:pt idx="7">
                        <c:v>14.062499999999991</c:v>
                      </c:pt>
                      <c:pt idx="8">
                        <c:v>12.328767123287664</c:v>
                      </c:pt>
                      <c:pt idx="9">
                        <c:v>-39.024390243902438</c:v>
                      </c:pt>
                      <c:pt idx="10">
                        <c:v>80</c:v>
                      </c:pt>
                      <c:pt idx="11">
                        <c:v>31.111111111111118</c:v>
                      </c:pt>
                      <c:pt idx="12">
                        <c:v>19.491525423728802</c:v>
                      </c:pt>
                      <c:pt idx="13">
                        <c:v>-20.567375886524825</c:v>
                      </c:pt>
                      <c:pt idx="14">
                        <c:v>-2.6785714285714191</c:v>
                      </c:pt>
                      <c:pt idx="15">
                        <c:v>-65.137614678899084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5FF-4B7D-8C80-FC1EA268B5F8}"/>
                  </c:ext>
                </c:extLst>
              </c15:ser>
            </c15:filteredLineSeries>
            <c15:filteredLineSeries>
              <c15:ser>
                <c:idx val="10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percentage_difference!$A$11</c15:sqref>
                        </c15:formulaRef>
                      </c:ext>
                    </c:extLst>
                    <c:strCache>
                      <c:ptCount val="1"/>
                      <c:pt idx="0">
                        <c:v>Information and communication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percentage_difference!$B$11:$Q$11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48.148148148148138</c:v>
                      </c:pt>
                      <c:pt idx="1">
                        <c:v>-40</c:v>
                      </c:pt>
                      <c:pt idx="2">
                        <c:v>-8.3333333333333233</c:v>
                      </c:pt>
                      <c:pt idx="3">
                        <c:v>31.818181818181802</c:v>
                      </c:pt>
                      <c:pt idx="4">
                        <c:v>68.965517241379331</c:v>
                      </c:pt>
                      <c:pt idx="5">
                        <c:v>0</c:v>
                      </c:pt>
                      <c:pt idx="6">
                        <c:v>22.448979591836725</c:v>
                      </c:pt>
                      <c:pt idx="7">
                        <c:v>13.33333333333333</c:v>
                      </c:pt>
                      <c:pt idx="8">
                        <c:v>5.8823529411764763</c:v>
                      </c:pt>
                      <c:pt idx="9">
                        <c:v>-33.333333333333336</c:v>
                      </c:pt>
                      <c:pt idx="10">
                        <c:v>77.083333333333343</c:v>
                      </c:pt>
                      <c:pt idx="11">
                        <c:v>28.235294117647065</c:v>
                      </c:pt>
                      <c:pt idx="12">
                        <c:v>-3.6697247706422047</c:v>
                      </c:pt>
                      <c:pt idx="13">
                        <c:v>-23.809523809523807</c:v>
                      </c:pt>
                      <c:pt idx="14">
                        <c:v>-8.7500000000000018</c:v>
                      </c:pt>
                      <c:pt idx="15">
                        <c:v>-63.013698630136986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65FF-4B7D-8C80-FC1EA268B5F8}"/>
                  </c:ext>
                </c:extLst>
              </c15:ser>
            </c15:filteredLineSeries>
            <c15:filteredLineSeries>
              <c15:ser>
                <c:idx val="11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percentage_difference!$A$12</c15:sqref>
                        </c15:formulaRef>
                      </c:ext>
                    </c:extLst>
                    <c:strCache>
                      <c:ptCount val="1"/>
                      <c:pt idx="0">
                        <c:v>Financial and insurance activities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percentage_difference!$B$12:$Q$12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-20.833333333333336</c:v>
                      </c:pt>
                      <c:pt idx="1">
                        <c:v>-31.578947368421044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53.846153846153847</c:v>
                      </c:pt>
                      <c:pt idx="5">
                        <c:v>10.000000000000009</c:v>
                      </c:pt>
                      <c:pt idx="6">
                        <c:v>27.272727272727256</c:v>
                      </c:pt>
                      <c:pt idx="7">
                        <c:v>7.1428571428571495</c:v>
                      </c:pt>
                      <c:pt idx="8">
                        <c:v>-16.666666666666664</c:v>
                      </c:pt>
                      <c:pt idx="9">
                        <c:v>-15.999999999999998</c:v>
                      </c:pt>
                      <c:pt idx="10">
                        <c:v>33.333333333333321</c:v>
                      </c:pt>
                      <c:pt idx="11">
                        <c:v>21.428571428571434</c:v>
                      </c:pt>
                      <c:pt idx="12">
                        <c:v>11.764705882352938</c:v>
                      </c:pt>
                      <c:pt idx="13">
                        <c:v>-5.2631578947368354</c:v>
                      </c:pt>
                      <c:pt idx="14">
                        <c:v>11.111111111111107</c:v>
                      </c:pt>
                      <c:pt idx="15">
                        <c:v>-40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65FF-4B7D-8C80-FC1EA268B5F8}"/>
                  </c:ext>
                </c:extLst>
              </c15:ser>
            </c15:filteredLineSeries>
            <c15:filteredLineSeries>
              <c15:ser>
                <c:idx val="12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percentage_difference!$A$13</c15:sqref>
                        </c15:formulaRef>
                      </c:ext>
                    </c:extLst>
                    <c:strCache>
                      <c:ptCount val="1"/>
                      <c:pt idx="0">
                        <c:v>Professional, scientific and technical activities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percentage_difference!$B$13:$Q$13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23.809523809523807</c:v>
                      </c:pt>
                      <c:pt idx="1">
                        <c:v>-32.692307692307693</c:v>
                      </c:pt>
                      <c:pt idx="2">
                        <c:v>-14.285714285714285</c:v>
                      </c:pt>
                      <c:pt idx="3">
                        <c:v>23.333333333333339</c:v>
                      </c:pt>
                      <c:pt idx="4">
                        <c:v>35.135135135135123</c:v>
                      </c:pt>
                      <c:pt idx="5">
                        <c:v>10</c:v>
                      </c:pt>
                      <c:pt idx="6">
                        <c:v>9.0909090909090917</c:v>
                      </c:pt>
                      <c:pt idx="7">
                        <c:v>28.333333333333339</c:v>
                      </c:pt>
                      <c:pt idx="8">
                        <c:v>-3.8961038961038938</c:v>
                      </c:pt>
                      <c:pt idx="9">
                        <c:v>-14.864864864864872</c:v>
                      </c:pt>
                      <c:pt idx="10">
                        <c:v>68.253968253968253</c:v>
                      </c:pt>
                      <c:pt idx="11">
                        <c:v>16.037735849056613</c:v>
                      </c:pt>
                      <c:pt idx="12">
                        <c:v>-11.382113821138214</c:v>
                      </c:pt>
                      <c:pt idx="13">
                        <c:v>-8.256880733944957</c:v>
                      </c:pt>
                      <c:pt idx="14">
                        <c:v>-9.0000000000000036</c:v>
                      </c:pt>
                      <c:pt idx="15">
                        <c:v>-53.846153846153847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65FF-4B7D-8C80-FC1EA268B5F8}"/>
                  </c:ext>
                </c:extLst>
              </c15:ser>
            </c15:filteredLineSeries>
            <c15:filteredLineSeries>
              <c15:ser>
                <c:idx val="13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percentage_difference!$A$14</c15:sqref>
                        </c15:formulaRef>
                      </c:ext>
                    </c:extLst>
                    <c:strCache>
                      <c:ptCount val="1"/>
                      <c:pt idx="0">
                        <c:v>Rental, travel agency, business support services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percentage_difference!$B$14:$Q$14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44.827586206896562</c:v>
                      </c:pt>
                      <c:pt idx="1">
                        <c:v>-66.666666666666671</c:v>
                      </c:pt>
                      <c:pt idx="2">
                        <c:v>0</c:v>
                      </c:pt>
                      <c:pt idx="3">
                        <c:v>7.1428571428571495</c:v>
                      </c:pt>
                      <c:pt idx="4">
                        <c:v>40.000000000000007</c:v>
                      </c:pt>
                      <c:pt idx="5">
                        <c:v>9.5238095238095113</c:v>
                      </c:pt>
                      <c:pt idx="6">
                        <c:v>60.869565217391319</c:v>
                      </c:pt>
                      <c:pt idx="7">
                        <c:v>2.7027027027026933</c:v>
                      </c:pt>
                      <c:pt idx="8">
                        <c:v>-7.8947368421052584</c:v>
                      </c:pt>
                      <c:pt idx="9">
                        <c:v>-34.285714285714292</c:v>
                      </c:pt>
                      <c:pt idx="10">
                        <c:v>113.04347826086961</c:v>
                      </c:pt>
                      <c:pt idx="11">
                        <c:v>22.448979591836725</c:v>
                      </c:pt>
                      <c:pt idx="12">
                        <c:v>1.6666666666666607</c:v>
                      </c:pt>
                      <c:pt idx="13">
                        <c:v>-3.2786885245901525</c:v>
                      </c:pt>
                      <c:pt idx="14">
                        <c:v>-3.3898305084745792</c:v>
                      </c:pt>
                      <c:pt idx="15">
                        <c:v>-49.122807017543863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65FF-4B7D-8C80-FC1EA268B5F8}"/>
                  </c:ext>
                </c:extLst>
              </c15:ser>
            </c15:filteredLineSeries>
            <c15:filteredLineSeries>
              <c15:ser>
                <c:idx val="14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percentage_difference!$A$15</c15:sqref>
                        </c15:formulaRef>
                      </c:ext>
                    </c:extLst>
                    <c:strCache>
                      <c:ptCount val="1"/>
                      <c:pt idx="0">
                        <c:v>Real estate, professional and rental activities (Grouped)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percentage_difference!$B$15:$Q$15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33.333333333333357</c:v>
                      </c:pt>
                      <c:pt idx="1">
                        <c:v>-56.81818181818182</c:v>
                      </c:pt>
                      <c:pt idx="2">
                        <c:v>0</c:v>
                      </c:pt>
                      <c:pt idx="3">
                        <c:v>5.2631578947368478</c:v>
                      </c:pt>
                      <c:pt idx="4">
                        <c:v>50</c:v>
                      </c:pt>
                      <c:pt idx="5">
                        <c:v>13.33333333333333</c:v>
                      </c:pt>
                      <c:pt idx="6">
                        <c:v>32.352941176470587</c:v>
                      </c:pt>
                      <c:pt idx="7">
                        <c:v>11.111111111111111</c:v>
                      </c:pt>
                      <c:pt idx="8">
                        <c:v>-4.0000000000000036</c:v>
                      </c:pt>
                      <c:pt idx="9">
                        <c:v>-22.916666666666661</c:v>
                      </c:pt>
                      <c:pt idx="10">
                        <c:v>81.081081081081081</c:v>
                      </c:pt>
                      <c:pt idx="11">
                        <c:v>17.910447761194032</c:v>
                      </c:pt>
                      <c:pt idx="12">
                        <c:v>-2.5316455696202551</c:v>
                      </c:pt>
                      <c:pt idx="13">
                        <c:v>-5.1948051948051992</c:v>
                      </c:pt>
                      <c:pt idx="14">
                        <c:v>-5.4794520547945131</c:v>
                      </c:pt>
                      <c:pt idx="15">
                        <c:v>-52.173913043478272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65FF-4B7D-8C80-FC1EA268B5F8}"/>
                  </c:ext>
                </c:extLst>
              </c15:ser>
            </c15:filteredLineSeries>
            <c15:filteredLineSeries>
              <c15:ser>
                <c:idx val="15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percentage_difference!$A$16</c15:sqref>
                        </c15:formulaRef>
                      </c:ext>
                    </c:extLst>
                    <c:strCache>
                      <c:ptCount val="1"/>
                      <c:pt idx="0">
                        <c:v>Education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percentage_difference!$B$16:$Q$16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77.777777777777757</c:v>
                      </c:pt>
                      <c:pt idx="1">
                        <c:v>-60.416666666666664</c:v>
                      </c:pt>
                      <c:pt idx="2">
                        <c:v>21.052631578947363</c:v>
                      </c:pt>
                      <c:pt idx="3">
                        <c:v>-26.086956521739125</c:v>
                      </c:pt>
                      <c:pt idx="4">
                        <c:v>88.235294117647072</c:v>
                      </c:pt>
                      <c:pt idx="5">
                        <c:v>28.124999999999982</c:v>
                      </c:pt>
                      <c:pt idx="6">
                        <c:v>-7.317073170731704</c:v>
                      </c:pt>
                      <c:pt idx="7">
                        <c:v>36.842105263157904</c:v>
                      </c:pt>
                      <c:pt idx="8">
                        <c:v>19.23076923076923</c:v>
                      </c:pt>
                      <c:pt idx="9">
                        <c:v>-48.387096774193544</c:v>
                      </c:pt>
                      <c:pt idx="10">
                        <c:v>100</c:v>
                      </c:pt>
                      <c:pt idx="11">
                        <c:v>4.6874999999999973</c:v>
                      </c:pt>
                      <c:pt idx="12">
                        <c:v>37.313432835820883</c:v>
                      </c:pt>
                      <c:pt idx="13">
                        <c:v>-13.043478260869559</c:v>
                      </c:pt>
                      <c:pt idx="14">
                        <c:v>-28.749999999999996</c:v>
                      </c:pt>
                      <c:pt idx="15">
                        <c:v>-52.631578947368418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65FF-4B7D-8C80-FC1EA268B5F8}"/>
                  </c:ext>
                </c:extLst>
              </c15:ser>
            </c15:filteredLineSeries>
            <c15:filteredLineSeries>
              <c15:ser>
                <c:idx val="16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percentage_difference!$A$17</c15:sqref>
                        </c15:formulaRef>
                      </c:ext>
                    </c:extLst>
                    <c:strCache>
                      <c:ptCount val="1"/>
                      <c:pt idx="0">
                        <c:v>Human health and social work activities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percentage_difference!$B$17:$Q$17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-9.3023255813953476</c:v>
                      </c:pt>
                      <c:pt idx="1">
                        <c:v>-51.282051282051292</c:v>
                      </c:pt>
                      <c:pt idx="2">
                        <c:v>0</c:v>
                      </c:pt>
                      <c:pt idx="3">
                        <c:v>10.526315789473696</c:v>
                      </c:pt>
                      <c:pt idx="4">
                        <c:v>-28.571428571428577</c:v>
                      </c:pt>
                      <c:pt idx="5">
                        <c:v>40.000000000000007</c:v>
                      </c:pt>
                      <c:pt idx="6">
                        <c:v>128.57142857142856</c:v>
                      </c:pt>
                      <c:pt idx="7">
                        <c:v>-20.833333333333336</c:v>
                      </c:pt>
                      <c:pt idx="8">
                        <c:v>5.2631578947368478</c:v>
                      </c:pt>
                      <c:pt idx="9">
                        <c:v>35.000000000000007</c:v>
                      </c:pt>
                      <c:pt idx="10">
                        <c:v>16.666666666666654</c:v>
                      </c:pt>
                      <c:pt idx="11">
                        <c:v>-1.5873015873015817</c:v>
                      </c:pt>
                      <c:pt idx="12">
                        <c:v>8.064516129032258</c:v>
                      </c:pt>
                      <c:pt idx="13">
                        <c:v>-4.4776119402985044</c:v>
                      </c:pt>
                      <c:pt idx="14">
                        <c:v>9.3749999999999947</c:v>
                      </c:pt>
                      <c:pt idx="15">
                        <c:v>-38.571428571428577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65FF-4B7D-8C80-FC1EA268B5F8}"/>
                  </c:ext>
                </c:extLst>
              </c15:ser>
            </c15:filteredLineSeries>
            <c15:filteredLineSeries>
              <c15:ser>
                <c:idx val="17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percentage_difference!$A$18</c15:sqref>
                        </c15:formulaRef>
                      </c:ext>
                    </c:extLst>
                    <c:strCache>
                      <c:ptCount val="1"/>
                      <c:pt idx="0">
                        <c:v>Arts, sports, entertainment and recreation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percentage_difference!$B$18:$Q$18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-12.068965517241383</c:v>
                      </c:pt>
                      <c:pt idx="1">
                        <c:v>-43.13725490196078</c:v>
                      </c:pt>
                      <c:pt idx="2">
                        <c:v>-17.241379310344829</c:v>
                      </c:pt>
                      <c:pt idx="3">
                        <c:v>79.166666666666657</c:v>
                      </c:pt>
                      <c:pt idx="4">
                        <c:v>-18.604651162790695</c:v>
                      </c:pt>
                      <c:pt idx="5">
                        <c:v>48.571428571428577</c:v>
                      </c:pt>
                      <c:pt idx="6">
                        <c:v>53.846153846153847</c:v>
                      </c:pt>
                      <c:pt idx="7">
                        <c:v>-5.0000000000000044</c:v>
                      </c:pt>
                      <c:pt idx="8">
                        <c:v>-6.5789473684210522</c:v>
                      </c:pt>
                      <c:pt idx="9">
                        <c:v>-39.436619718309856</c:v>
                      </c:pt>
                      <c:pt idx="10">
                        <c:v>39.534883720930239</c:v>
                      </c:pt>
                      <c:pt idx="11">
                        <c:v>63.333333333333343</c:v>
                      </c:pt>
                      <c:pt idx="12">
                        <c:v>-9.1836734693877577</c:v>
                      </c:pt>
                      <c:pt idx="13">
                        <c:v>-32.584269662921351</c:v>
                      </c:pt>
                      <c:pt idx="14">
                        <c:v>20.000000000000004</c:v>
                      </c:pt>
                      <c:pt idx="15">
                        <c:v>-19.444444444444446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65FF-4B7D-8C80-FC1EA268B5F8}"/>
                  </c:ext>
                </c:extLst>
              </c15:ser>
            </c15:filteredLineSeries>
            <c15:filteredLineSeries>
              <c15:ser>
                <c:idx val="18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percentage_difference!$A$19</c15:sqref>
                        </c15:formulaRef>
                      </c:ext>
                    </c:extLst>
                    <c:strCache>
                      <c:ptCount val="1"/>
                      <c:pt idx="0">
                        <c:v>Other service activities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percentage_difference!$B$2:$Q$2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  <c:pt idx="15">
                        <c:v>2026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percentage_difference!$B$19:$Q$19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-17.142857142857146</c:v>
                      </c:pt>
                      <c:pt idx="1">
                        <c:v>-51.724137931034484</c:v>
                      </c:pt>
                      <c:pt idx="2">
                        <c:v>-21.428571428571416</c:v>
                      </c:pt>
                      <c:pt idx="3">
                        <c:v>118.18181818181816</c:v>
                      </c:pt>
                      <c:pt idx="4">
                        <c:v>29.166666666666675</c:v>
                      </c:pt>
                      <c:pt idx="5">
                        <c:v>0</c:v>
                      </c:pt>
                      <c:pt idx="6">
                        <c:v>77.41935483870968</c:v>
                      </c:pt>
                      <c:pt idx="7">
                        <c:v>-9.0909090909090917</c:v>
                      </c:pt>
                      <c:pt idx="8">
                        <c:v>-15.999999999999998</c:v>
                      </c:pt>
                      <c:pt idx="9">
                        <c:v>-14.285714285714288</c:v>
                      </c:pt>
                      <c:pt idx="10">
                        <c:v>66.666666666666657</c:v>
                      </c:pt>
                      <c:pt idx="11">
                        <c:v>51.666666666666657</c:v>
                      </c:pt>
                      <c:pt idx="12">
                        <c:v>4.3956043956043995</c:v>
                      </c:pt>
                      <c:pt idx="13">
                        <c:v>-9.4736842105263186</c:v>
                      </c:pt>
                      <c:pt idx="14">
                        <c:v>-13.953488372093014</c:v>
                      </c:pt>
                      <c:pt idx="15">
                        <c:v>-52.702702702702709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65FF-4B7D-8C80-FC1EA268B5F8}"/>
                  </c:ext>
                </c:extLst>
              </c15:ser>
            </c15:filteredLineSeries>
          </c:ext>
        </c:extLst>
      </c:lineChart>
      <c:catAx>
        <c:axId val="192281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2812160"/>
        <c:crosses val="autoZero"/>
        <c:auto val="1"/>
        <c:lblAlgn val="ctr"/>
        <c:lblOffset val="100"/>
        <c:noMultiLvlLbl val="0"/>
      </c:catAx>
      <c:valAx>
        <c:axId val="19228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Percentage</a:t>
                </a:r>
                <a:r>
                  <a:rPr lang="it-IT" baseline="0"/>
                  <a:t> difference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281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/>
              <a:t>Percentage</a:t>
            </a:r>
            <a:r>
              <a:rPr lang="it-IT" sz="1800" baseline="0"/>
              <a:t> difference in supply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percentage_difference!$A$23</c:f>
              <c:strCache>
                <c:ptCount val="1"/>
                <c:pt idx="0">
                  <c:v>SECONDARY SECTOR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percentage_difference!$B$22:$Q$22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percentage_difference!$B$23:$Q$23</c:f>
              <c:numCache>
                <c:formatCode>General</c:formatCode>
                <c:ptCount val="16"/>
                <c:pt idx="0">
                  <c:v>-0.65274151436031325</c:v>
                </c:pt>
                <c:pt idx="1">
                  <c:v>-3.2134750925815316</c:v>
                </c:pt>
                <c:pt idx="2">
                  <c:v>-3.7603883814695962</c:v>
                </c:pt>
                <c:pt idx="3">
                  <c:v>0.14107387140902872</c:v>
                </c:pt>
                <c:pt idx="4">
                  <c:v>-8.5378868729989333E-3</c:v>
                </c:pt>
                <c:pt idx="5">
                  <c:v>-8.5386158903641721E-2</c:v>
                </c:pt>
                <c:pt idx="6">
                  <c:v>0.82040764004614797</c:v>
                </c:pt>
                <c:pt idx="7">
                  <c:v>1.313837677474041</c:v>
                </c:pt>
                <c:pt idx="8">
                  <c:v>1.2549675800041833E-2</c:v>
                </c:pt>
                <c:pt idx="9">
                  <c:v>-1.0582231888907478</c:v>
                </c:pt>
                <c:pt idx="10">
                  <c:v>1.4753751849503276</c:v>
                </c:pt>
                <c:pt idx="11">
                  <c:v>3.2786202299616729</c:v>
                </c:pt>
                <c:pt idx="12">
                  <c:v>1.3956677826630632</c:v>
                </c:pt>
                <c:pt idx="13">
                  <c:v>1.364522417153996</c:v>
                </c:pt>
                <c:pt idx="14">
                  <c:v>0.77708006279434849</c:v>
                </c:pt>
                <c:pt idx="15">
                  <c:v>-1.5577537191370043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8-48A4-B364-8E61E3D397AC}"/>
            </c:ext>
          </c:extLst>
        </c:ser>
        <c:ser>
          <c:idx val="3"/>
          <c:order val="1"/>
          <c:tx>
            <c:strRef>
              <c:f>percentage_difference!$A$24</c:f>
              <c:strCache>
                <c:ptCount val="1"/>
                <c:pt idx="0">
                  <c:v>TERTIARY SECTOR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percentage_difference!$B$22:$Q$22</c:f>
              <c:numCache>
                <c:formatCode>General</c:formatCod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numCache>
            </c:numRef>
          </c:cat>
          <c:val>
            <c:numRef>
              <c:f>percentage_difference!$B$24:$Q$24</c:f>
              <c:numCache>
                <c:formatCode>General</c:formatCode>
                <c:ptCount val="16"/>
                <c:pt idx="0">
                  <c:v>0.85334914829824393</c:v>
                </c:pt>
                <c:pt idx="1">
                  <c:v>0.53087226396602416</c:v>
                </c:pt>
                <c:pt idx="2">
                  <c:v>-1.0398895117393776</c:v>
                </c:pt>
                <c:pt idx="3">
                  <c:v>0.29061653394630982</c:v>
                </c:pt>
                <c:pt idx="4">
                  <c:v>1.0968861530401754</c:v>
                </c:pt>
                <c:pt idx="5">
                  <c:v>1.8558103381267004</c:v>
                </c:pt>
                <c:pt idx="6">
                  <c:v>1.5835161690355815</c:v>
                </c:pt>
                <c:pt idx="7">
                  <c:v>0.91557892759883563</c:v>
                </c:pt>
                <c:pt idx="8">
                  <c:v>0.67308736177670248</c:v>
                </c:pt>
                <c:pt idx="9">
                  <c:v>-4.1131976645664192</c:v>
                </c:pt>
                <c:pt idx="11">
                  <c:v>2.5973818391061809</c:v>
                </c:pt>
                <c:pt idx="12">
                  <c:v>2.4739826758895744</c:v>
                </c:pt>
                <c:pt idx="13">
                  <c:v>1.9353563609827293</c:v>
                </c:pt>
                <c:pt idx="14">
                  <c:v>0.629390445793375</c:v>
                </c:pt>
                <c:pt idx="15">
                  <c:v>-10.032458389530317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68-48A4-B364-8E61E3D39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810720"/>
        <c:axId val="1922812160"/>
      </c:lineChart>
      <c:catAx>
        <c:axId val="192281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2812160"/>
        <c:crosses val="autoZero"/>
        <c:auto val="1"/>
        <c:lblAlgn val="ctr"/>
        <c:lblOffset val="100"/>
        <c:noMultiLvlLbl val="0"/>
      </c:catAx>
      <c:valAx>
        <c:axId val="19228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Percentage</a:t>
                </a:r>
                <a:r>
                  <a:rPr lang="it-IT" baseline="0"/>
                  <a:t> difference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281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1" i="0" u="none" strike="noStrike" baseline="0"/>
              <a:t>Pie chart with supply percentages of the total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047698999345362E-2"/>
          <c:y val="0.15338978514519508"/>
          <c:w val="0.73420645323057931"/>
          <c:h val="0.7545018674162483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3AE-45A5-9D8E-B1EB2C059E7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9EF-4DFD-9602-21F859BAE29B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3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data!$E$9:$E$25</c15:sqref>
                  </c15:fullRef>
                </c:ext>
              </c:extLst>
              <c:f>(data!$E$9,data!$E$14)</c:f>
              <c:strCache>
                <c:ptCount val="2"/>
                <c:pt idx="0">
                  <c:v>SECONDARY SECTOR</c:v>
                </c:pt>
                <c:pt idx="1">
                  <c:v>TERTIARY SECTOR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data!$H$9:$H$25</c15:sqref>
                  </c15:fullRef>
                </c:ext>
              </c:extLst>
              <c:f>(data!$H$9,data!$H$14)</c:f>
              <c:numCache>
                <c:formatCode>General</c:formatCode>
                <c:ptCount val="2"/>
                <c:pt idx="0">
                  <c:v>6319.5</c:v>
                </c:pt>
                <c:pt idx="1">
                  <c:v>15175.5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13AE-45A5-9D8E-B1EB2C059E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86827670866651"/>
          <c:y val="0.36896983591820121"/>
          <c:w val="0.23352507833413066"/>
          <c:h val="0.2938913352543104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780" b="0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13608</xdr:colOff>
      <xdr:row>0</xdr:row>
      <xdr:rowOff>1406</xdr:rowOff>
    </xdr:from>
    <xdr:to>
      <xdr:col>11</xdr:col>
      <xdr:colOff>1336964</xdr:colOff>
      <xdr:row>30</xdr:row>
      <xdr:rowOff>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823D34F-387A-47DB-AB2A-C4174E1E2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1378168</xdr:colOff>
      <xdr:row>0</xdr:row>
      <xdr:rowOff>0</xdr:rowOff>
    </xdr:from>
    <xdr:to>
      <xdr:col>16</xdr:col>
      <xdr:colOff>609600</xdr:colOff>
      <xdr:row>29</xdr:row>
      <xdr:rowOff>166155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729588F-3C1A-4BA3-9D12-16BE05CC4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628650</xdr:colOff>
      <xdr:row>0</xdr:row>
      <xdr:rowOff>0</xdr:rowOff>
    </xdr:from>
    <xdr:to>
      <xdr:col>22</xdr:col>
      <xdr:colOff>781050</xdr:colOff>
      <xdr:row>29</xdr:row>
      <xdr:rowOff>176646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4B18A22-20A7-4EF1-82F7-5194B6499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14</xdr:col>
      <xdr:colOff>0</xdr:colOff>
      <xdr:row>71</xdr:row>
      <xdr:rowOff>183968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CF8D126-0A02-4B84-B338-9B27B98D0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42</xdr:row>
      <xdr:rowOff>0</xdr:rowOff>
    </xdr:from>
    <xdr:to>
      <xdr:col>22</xdr:col>
      <xdr:colOff>819150</xdr:colOff>
      <xdr:row>71</xdr:row>
      <xdr:rowOff>183968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36F070AF-F051-4B19-B003-AAB925169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455836</xdr:colOff>
      <xdr:row>122</xdr:row>
      <xdr:rowOff>77559</xdr:rowOff>
    </xdr:from>
    <xdr:to>
      <xdr:col>14</xdr:col>
      <xdr:colOff>408214</xdr:colOff>
      <xdr:row>167</xdr:row>
      <xdr:rowOff>81643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68057AA-F56B-3F78-17AF-68A139BC7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6EBA-EDDF-4342-8F54-49377F510CBD}">
  <dimension ref="A1"/>
  <sheetViews>
    <sheetView tabSelected="1" topLeftCell="A4" zoomScale="40" zoomScaleNormal="40" workbookViewId="0">
      <selection activeCell="N78" sqref="N78"/>
    </sheetView>
  </sheetViews>
  <sheetFormatPr defaultRowHeight="14.4" x14ac:dyDescent="0.3"/>
  <cols>
    <col min="1" max="1" width="17.44140625" bestFit="1" customWidth="1"/>
    <col min="10" max="29" width="25.6640625" customWidth="1"/>
  </cols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4527-A0F2-4C90-B6F8-224E27366DEE}">
  <dimension ref="A1:AN51"/>
  <sheetViews>
    <sheetView topLeftCell="A6" zoomScale="70" zoomScaleNormal="70" workbookViewId="0">
      <selection activeCell="F11" sqref="F11"/>
    </sheetView>
  </sheetViews>
  <sheetFormatPr defaultRowHeight="14.4" x14ac:dyDescent="0.3"/>
  <cols>
    <col min="5" max="5" width="22.88671875" customWidth="1"/>
    <col min="6" max="6" width="37.33203125" customWidth="1"/>
    <col min="7" max="34" width="15.6640625" customWidth="1"/>
    <col min="35" max="35" width="16.109375" customWidth="1"/>
    <col min="36" max="40" width="15.6640625" customWidth="1"/>
  </cols>
  <sheetData>
    <row r="1" spans="1:40" x14ac:dyDescent="0.3">
      <c r="A1" s="1"/>
      <c r="B1" s="1"/>
      <c r="C1" s="1"/>
      <c r="D1" s="1"/>
      <c r="E1" s="1"/>
    </row>
    <row r="6" spans="1:40" ht="15" thickBot="1" x14ac:dyDescent="0.35"/>
    <row r="7" spans="1:40" x14ac:dyDescent="0.3">
      <c r="E7" s="24"/>
      <c r="F7" s="23"/>
      <c r="G7" s="24">
        <v>2010</v>
      </c>
      <c r="H7" s="22"/>
      <c r="I7" s="22">
        <v>2011</v>
      </c>
      <c r="J7" s="22"/>
      <c r="K7" s="22">
        <v>2012</v>
      </c>
      <c r="L7" s="22"/>
      <c r="M7" s="22">
        <v>2013</v>
      </c>
      <c r="N7" s="22"/>
      <c r="O7" s="22">
        <v>2014</v>
      </c>
      <c r="P7" s="22"/>
      <c r="Q7" s="22">
        <v>2015</v>
      </c>
      <c r="R7" s="22"/>
      <c r="S7" s="22">
        <v>2016</v>
      </c>
      <c r="T7" s="22"/>
      <c r="U7" s="22">
        <v>2017</v>
      </c>
      <c r="V7" s="22"/>
      <c r="W7" s="22">
        <v>2018</v>
      </c>
      <c r="X7" s="22"/>
      <c r="Y7" s="22">
        <v>2019</v>
      </c>
      <c r="Z7" s="22"/>
      <c r="AA7" s="22">
        <v>2020</v>
      </c>
      <c r="AB7" s="22"/>
      <c r="AC7" s="22">
        <v>2021</v>
      </c>
      <c r="AD7" s="22"/>
      <c r="AE7" s="22">
        <v>2022</v>
      </c>
      <c r="AF7" s="22"/>
      <c r="AG7" s="22">
        <v>2023</v>
      </c>
      <c r="AH7" s="22"/>
      <c r="AI7" s="22">
        <v>2024</v>
      </c>
      <c r="AJ7" s="22"/>
      <c r="AK7" s="22">
        <v>2025</v>
      </c>
      <c r="AL7" s="22"/>
      <c r="AM7" s="22">
        <v>2026</v>
      </c>
      <c r="AN7" s="23"/>
    </row>
    <row r="8" spans="1:40" ht="40.200000000000003" thickBot="1" x14ac:dyDescent="0.35">
      <c r="E8" s="31"/>
      <c r="F8" s="38"/>
      <c r="G8" s="46" t="s">
        <v>17</v>
      </c>
      <c r="H8" s="47" t="s">
        <v>18</v>
      </c>
      <c r="I8" s="47" t="s">
        <v>17</v>
      </c>
      <c r="J8" s="47" t="s">
        <v>18</v>
      </c>
      <c r="K8" s="47" t="s">
        <v>17</v>
      </c>
      <c r="L8" s="47" t="s">
        <v>18</v>
      </c>
      <c r="M8" s="47" t="s">
        <v>17</v>
      </c>
      <c r="N8" s="47" t="s">
        <v>18</v>
      </c>
      <c r="O8" s="47" t="s">
        <v>17</v>
      </c>
      <c r="P8" s="47" t="s">
        <v>18</v>
      </c>
      <c r="Q8" s="47" t="s">
        <v>17</v>
      </c>
      <c r="R8" s="47" t="s">
        <v>18</v>
      </c>
      <c r="S8" s="47" t="s">
        <v>17</v>
      </c>
      <c r="T8" s="47" t="s">
        <v>18</v>
      </c>
      <c r="U8" s="47" t="s">
        <v>17</v>
      </c>
      <c r="V8" s="47" t="s">
        <v>18</v>
      </c>
      <c r="W8" s="47" t="s">
        <v>17</v>
      </c>
      <c r="X8" s="47" t="s">
        <v>18</v>
      </c>
      <c r="Y8" s="47" t="s">
        <v>17</v>
      </c>
      <c r="Z8" s="47" t="s">
        <v>18</v>
      </c>
      <c r="AA8" s="47" t="s">
        <v>17</v>
      </c>
      <c r="AB8" s="47" t="s">
        <v>18</v>
      </c>
      <c r="AC8" s="47" t="s">
        <v>17</v>
      </c>
      <c r="AD8" s="47" t="s">
        <v>18</v>
      </c>
      <c r="AE8" s="47" t="s">
        <v>17</v>
      </c>
      <c r="AF8" s="47" t="s">
        <v>18</v>
      </c>
      <c r="AG8" s="47" t="s">
        <v>17</v>
      </c>
      <c r="AH8" s="47" t="s">
        <v>18</v>
      </c>
      <c r="AI8" s="47" t="s">
        <v>17</v>
      </c>
      <c r="AJ8" s="47" t="s">
        <v>18</v>
      </c>
      <c r="AK8" s="47" t="s">
        <v>17</v>
      </c>
      <c r="AL8" s="47" t="s">
        <v>18</v>
      </c>
      <c r="AM8" s="47" t="s">
        <v>17</v>
      </c>
      <c r="AN8" s="48" t="s">
        <v>18</v>
      </c>
    </row>
    <row r="9" spans="1:40" x14ac:dyDescent="0.3">
      <c r="E9" s="27" t="s">
        <v>20</v>
      </c>
      <c r="F9" s="39" t="s">
        <v>0</v>
      </c>
      <c r="G9" s="42">
        <v>0.125</v>
      </c>
      <c r="H9" s="43">
        <v>6319.5</v>
      </c>
      <c r="I9" s="44">
        <v>0.17499999999999999</v>
      </c>
      <c r="J9" s="43">
        <v>6278.25</v>
      </c>
      <c r="K9" s="44">
        <v>0.32500000000000001</v>
      </c>
      <c r="L9" s="43">
        <v>6076.5</v>
      </c>
      <c r="M9" s="44">
        <v>0.47499999999999998</v>
      </c>
      <c r="N9" s="43">
        <v>5848</v>
      </c>
      <c r="O9" s="44">
        <v>0.15</v>
      </c>
      <c r="P9" s="43">
        <v>5856.25</v>
      </c>
      <c r="Q9" s="44">
        <v>0.125</v>
      </c>
      <c r="R9" s="43">
        <v>5855.75</v>
      </c>
      <c r="S9" s="44">
        <v>0.27500000000000002</v>
      </c>
      <c r="T9" s="43">
        <v>5850.75</v>
      </c>
      <c r="U9" s="44">
        <v>0.57499999999999996</v>
      </c>
      <c r="V9" s="43">
        <v>5898.75</v>
      </c>
      <c r="W9" s="44">
        <v>1.325</v>
      </c>
      <c r="X9" s="43">
        <v>5976.25</v>
      </c>
      <c r="Y9" s="44">
        <v>1.2</v>
      </c>
      <c r="Z9" s="43">
        <v>5977</v>
      </c>
      <c r="AA9" s="44">
        <v>0.22500000000000001</v>
      </c>
      <c r="AB9" s="43">
        <v>5913.75</v>
      </c>
      <c r="AC9" s="44">
        <v>0.4</v>
      </c>
      <c r="AD9" s="43">
        <v>6001</v>
      </c>
      <c r="AE9" s="44">
        <v>1.1499999999999999</v>
      </c>
      <c r="AF9" s="43">
        <v>6197.75</v>
      </c>
      <c r="AG9" s="44">
        <v>1.375</v>
      </c>
      <c r="AH9" s="43">
        <v>6284.25</v>
      </c>
      <c r="AI9" s="44">
        <v>1.35</v>
      </c>
      <c r="AJ9" s="43">
        <v>6370</v>
      </c>
      <c r="AK9" s="44">
        <v>0.57499999999999996</v>
      </c>
      <c r="AL9" s="43">
        <v>6419.5</v>
      </c>
      <c r="AM9" s="44">
        <v>0.125</v>
      </c>
      <c r="AN9" s="45">
        <v>6319.5</v>
      </c>
    </row>
    <row r="10" spans="1:40" x14ac:dyDescent="0.3">
      <c r="E10" s="27"/>
      <c r="F10" s="39" t="s">
        <v>1</v>
      </c>
      <c r="G10" s="35">
        <v>0.47499999999999998</v>
      </c>
      <c r="H10" s="28"/>
      <c r="I10" s="2">
        <v>0.57499999999999996</v>
      </c>
      <c r="J10" s="28"/>
      <c r="K10" s="2">
        <v>0.42499999999999999</v>
      </c>
      <c r="L10" s="28"/>
      <c r="M10" s="2">
        <v>0.4</v>
      </c>
      <c r="N10" s="28"/>
      <c r="O10" s="2">
        <v>0.5</v>
      </c>
      <c r="P10" s="28"/>
      <c r="Q10" s="2">
        <v>0.625</v>
      </c>
      <c r="R10" s="28"/>
      <c r="S10" s="2">
        <v>0.67500000000000004</v>
      </c>
      <c r="T10" s="28"/>
      <c r="U10" s="2">
        <v>0.85</v>
      </c>
      <c r="V10" s="28"/>
      <c r="W10" s="2">
        <v>0.97499999999999998</v>
      </c>
      <c r="X10" s="28"/>
      <c r="Y10" s="2">
        <v>0.9</v>
      </c>
      <c r="Z10" s="28"/>
      <c r="AA10" s="2">
        <v>0.6</v>
      </c>
      <c r="AB10" s="28"/>
      <c r="AC10" s="2">
        <v>1.375</v>
      </c>
      <c r="AD10" s="28"/>
      <c r="AE10" s="2">
        <v>1.7</v>
      </c>
      <c r="AF10" s="28"/>
      <c r="AG10" s="2">
        <v>1.7</v>
      </c>
      <c r="AH10" s="28"/>
      <c r="AI10" s="2">
        <v>1.5</v>
      </c>
      <c r="AJ10" s="28"/>
      <c r="AK10" s="2">
        <v>1.375</v>
      </c>
      <c r="AL10" s="28"/>
      <c r="AM10" s="2">
        <v>0.47499999999999998</v>
      </c>
      <c r="AN10" s="32"/>
    </row>
    <row r="11" spans="1:40" ht="27" x14ac:dyDescent="0.3">
      <c r="E11" s="27"/>
      <c r="F11" s="39" t="s">
        <v>2</v>
      </c>
      <c r="G11" s="35">
        <v>0.32500000000000001</v>
      </c>
      <c r="H11" s="28"/>
      <c r="I11" s="2">
        <v>0.32500000000000001</v>
      </c>
      <c r="J11" s="28"/>
      <c r="K11" s="2">
        <v>0.15</v>
      </c>
      <c r="L11" s="28"/>
      <c r="M11" s="2">
        <v>0.77500000000000002</v>
      </c>
      <c r="N11" s="28"/>
      <c r="O11" s="2">
        <v>0.57499999999999996</v>
      </c>
      <c r="P11" s="28"/>
      <c r="Q11" s="2">
        <v>0.27500000000000002</v>
      </c>
      <c r="R11" s="28"/>
      <c r="S11" s="2">
        <v>0.625</v>
      </c>
      <c r="T11" s="28"/>
      <c r="U11" s="2">
        <v>0.52500000000000002</v>
      </c>
      <c r="V11" s="28"/>
      <c r="W11" s="2">
        <v>0.55000000000000004</v>
      </c>
      <c r="X11" s="28"/>
      <c r="Y11" s="2">
        <v>0.7</v>
      </c>
      <c r="Z11" s="28"/>
      <c r="AA11" s="2">
        <v>0.52500000000000002</v>
      </c>
      <c r="AB11" s="28"/>
      <c r="AC11" s="2">
        <v>0.95</v>
      </c>
      <c r="AD11" s="28"/>
      <c r="AE11" s="2">
        <v>1.075</v>
      </c>
      <c r="AF11" s="28"/>
      <c r="AG11" s="2">
        <v>0.97499999999999998</v>
      </c>
      <c r="AH11" s="28"/>
      <c r="AI11" s="2">
        <v>1.1000000000000001</v>
      </c>
      <c r="AJ11" s="28"/>
      <c r="AK11" s="2">
        <v>0.82499999999999996</v>
      </c>
      <c r="AL11" s="28"/>
      <c r="AM11" s="2">
        <v>0.32500000000000001</v>
      </c>
      <c r="AN11" s="32"/>
    </row>
    <row r="12" spans="1:40" ht="27" x14ac:dyDescent="0.3">
      <c r="E12" s="27"/>
      <c r="F12" s="39" t="s">
        <v>3</v>
      </c>
      <c r="G12" s="35">
        <v>0.42499999999999999</v>
      </c>
      <c r="H12" s="28"/>
      <c r="I12" s="2">
        <v>0.65</v>
      </c>
      <c r="J12" s="28"/>
      <c r="K12" s="2">
        <v>0.32500000000000001</v>
      </c>
      <c r="L12" s="28"/>
      <c r="M12" s="2">
        <v>0.3</v>
      </c>
      <c r="N12" s="28"/>
      <c r="O12" s="2">
        <v>0.25</v>
      </c>
      <c r="P12" s="28"/>
      <c r="Q12" s="2">
        <v>0.25</v>
      </c>
      <c r="R12" s="28"/>
      <c r="S12" s="2">
        <v>0.4</v>
      </c>
      <c r="T12" s="28"/>
      <c r="U12" s="2">
        <v>0.52500000000000002</v>
      </c>
      <c r="V12" s="28"/>
      <c r="W12" s="2">
        <v>0.72499999999999998</v>
      </c>
      <c r="X12" s="28"/>
      <c r="Y12" s="2">
        <v>0.8</v>
      </c>
      <c r="Z12" s="28"/>
      <c r="AA12" s="2">
        <v>0.875</v>
      </c>
      <c r="AB12" s="28"/>
      <c r="AC12" s="2">
        <v>1.125</v>
      </c>
      <c r="AD12" s="28"/>
      <c r="AE12" s="2">
        <v>1.1499999999999999</v>
      </c>
      <c r="AF12" s="28"/>
      <c r="AG12" s="2">
        <v>1.6</v>
      </c>
      <c r="AH12" s="28"/>
      <c r="AI12" s="2">
        <v>1.125</v>
      </c>
      <c r="AJ12" s="28"/>
      <c r="AK12" s="2">
        <v>1.1000000000000001</v>
      </c>
      <c r="AL12" s="28"/>
      <c r="AM12" s="2">
        <v>0.42499999999999999</v>
      </c>
      <c r="AN12" s="32"/>
    </row>
    <row r="13" spans="1:40" x14ac:dyDescent="0.3">
      <c r="E13" s="27"/>
      <c r="F13" s="39" t="s">
        <v>4</v>
      </c>
      <c r="G13" s="35">
        <v>0.67500000000000004</v>
      </c>
      <c r="H13" s="28"/>
      <c r="I13" s="2">
        <v>0.7</v>
      </c>
      <c r="J13" s="28"/>
      <c r="K13" s="2">
        <v>0.67500000000000004</v>
      </c>
      <c r="L13" s="28"/>
      <c r="M13" s="2">
        <v>0.47499999999999998</v>
      </c>
      <c r="N13" s="28"/>
      <c r="O13" s="2">
        <v>0.65</v>
      </c>
      <c r="P13" s="28"/>
      <c r="Q13" s="2">
        <v>0.625</v>
      </c>
      <c r="R13" s="28"/>
      <c r="S13" s="2">
        <v>0.7</v>
      </c>
      <c r="T13" s="28"/>
      <c r="U13" s="2">
        <v>1.0249999999999999</v>
      </c>
      <c r="V13" s="28"/>
      <c r="W13" s="2">
        <v>1.5</v>
      </c>
      <c r="X13" s="28"/>
      <c r="Y13" s="2">
        <v>1.65</v>
      </c>
      <c r="Z13" s="28"/>
      <c r="AA13" s="2">
        <v>1.175</v>
      </c>
      <c r="AB13" s="28"/>
      <c r="AC13" s="2">
        <v>1.9</v>
      </c>
      <c r="AD13" s="28"/>
      <c r="AE13" s="2">
        <v>2.2999999999999998</v>
      </c>
      <c r="AF13" s="28"/>
      <c r="AG13" s="2">
        <v>2.8</v>
      </c>
      <c r="AH13" s="28"/>
      <c r="AI13" s="2">
        <v>2.625</v>
      </c>
      <c r="AJ13" s="28"/>
      <c r="AK13" s="2">
        <v>2.1749999999999998</v>
      </c>
      <c r="AL13" s="28"/>
      <c r="AM13" s="2">
        <v>0.67500000000000004</v>
      </c>
      <c r="AN13" s="32"/>
    </row>
    <row r="14" spans="1:40" ht="27" x14ac:dyDescent="0.3">
      <c r="E14" s="25" t="s">
        <v>19</v>
      </c>
      <c r="F14" s="40" t="s">
        <v>5</v>
      </c>
      <c r="G14" s="36">
        <v>0.95</v>
      </c>
      <c r="H14" s="29">
        <v>15175.5</v>
      </c>
      <c r="I14" s="12">
        <v>0.9</v>
      </c>
      <c r="J14" s="29">
        <v>15305</v>
      </c>
      <c r="K14" s="12">
        <v>0.6</v>
      </c>
      <c r="L14" s="29">
        <v>15386.25</v>
      </c>
      <c r="M14" s="12">
        <v>0.42499999999999999</v>
      </c>
      <c r="N14" s="29">
        <v>15226.25</v>
      </c>
      <c r="O14" s="12">
        <v>0.55000000000000004</v>
      </c>
      <c r="P14" s="29">
        <v>15270.5</v>
      </c>
      <c r="Q14" s="12">
        <v>0.67500000000000004</v>
      </c>
      <c r="R14" s="29">
        <v>15438</v>
      </c>
      <c r="S14" s="12">
        <v>0.77500000000000002</v>
      </c>
      <c r="T14" s="29">
        <v>15724.5</v>
      </c>
      <c r="U14" s="12">
        <v>0.9</v>
      </c>
      <c r="V14" s="29">
        <v>15973.5</v>
      </c>
      <c r="W14" s="12">
        <v>1.0249999999999999</v>
      </c>
      <c r="X14" s="29">
        <v>16119.75</v>
      </c>
      <c r="Y14" s="12">
        <v>1.1499999999999999</v>
      </c>
      <c r="Z14" s="29">
        <v>16228.25</v>
      </c>
      <c r="AA14" s="12">
        <v>0.8</v>
      </c>
      <c r="AB14" s="29">
        <v>15560.75</v>
      </c>
      <c r="AC14" s="12">
        <v>1.425</v>
      </c>
      <c r="AD14" s="29">
        <v>15640.75</v>
      </c>
      <c r="AE14" s="12">
        <v>1.85</v>
      </c>
      <c r="AF14" s="29">
        <v>16047</v>
      </c>
      <c r="AG14" s="12">
        <v>1.625</v>
      </c>
      <c r="AH14" s="29">
        <v>16444</v>
      </c>
      <c r="AI14" s="12">
        <v>1.5</v>
      </c>
      <c r="AJ14" s="29">
        <v>16762.25</v>
      </c>
      <c r="AK14" s="12">
        <v>1.45</v>
      </c>
      <c r="AL14" s="29">
        <v>16867.75</v>
      </c>
      <c r="AM14" s="12">
        <v>0.95</v>
      </c>
      <c r="AN14" s="33">
        <v>15175.5</v>
      </c>
    </row>
    <row r="15" spans="1:40" x14ac:dyDescent="0.3">
      <c r="E15" s="25"/>
      <c r="F15" s="40" t="s">
        <v>6</v>
      </c>
      <c r="G15" s="36">
        <v>0.55000000000000004</v>
      </c>
      <c r="H15" s="29"/>
      <c r="I15" s="12">
        <v>0.5</v>
      </c>
      <c r="J15" s="29"/>
      <c r="K15" s="12">
        <v>0.35</v>
      </c>
      <c r="L15" s="29"/>
      <c r="M15" s="12">
        <v>0.25</v>
      </c>
      <c r="N15" s="29"/>
      <c r="O15" s="12">
        <v>0.27500000000000002</v>
      </c>
      <c r="P15" s="29"/>
      <c r="Q15" s="12">
        <v>0.4</v>
      </c>
      <c r="R15" s="29"/>
      <c r="S15" s="12">
        <v>0.375</v>
      </c>
      <c r="T15" s="29"/>
      <c r="U15" s="12">
        <v>0.67500000000000004</v>
      </c>
      <c r="V15" s="29"/>
      <c r="W15" s="12">
        <v>0.72499999999999998</v>
      </c>
      <c r="X15" s="29"/>
      <c r="Y15" s="12">
        <v>0.92500000000000004</v>
      </c>
      <c r="Z15" s="29"/>
      <c r="AA15" s="12">
        <v>0.625</v>
      </c>
      <c r="AB15" s="29"/>
      <c r="AC15" s="12">
        <v>1.0249999999999999</v>
      </c>
      <c r="AD15" s="29"/>
      <c r="AE15" s="12">
        <v>1.2749999999999999</v>
      </c>
      <c r="AF15" s="29"/>
      <c r="AG15" s="12">
        <v>1.3</v>
      </c>
      <c r="AH15" s="29"/>
      <c r="AI15" s="12">
        <v>1.4</v>
      </c>
      <c r="AJ15" s="29"/>
      <c r="AK15" s="12">
        <v>1.2</v>
      </c>
      <c r="AL15" s="29"/>
      <c r="AM15" s="12">
        <v>0.55000000000000004</v>
      </c>
      <c r="AN15" s="33"/>
    </row>
    <row r="16" spans="1:40" ht="27" x14ac:dyDescent="0.3">
      <c r="E16" s="25"/>
      <c r="F16" s="40" t="s">
        <v>7</v>
      </c>
      <c r="G16" s="36">
        <v>0.95</v>
      </c>
      <c r="H16" s="29"/>
      <c r="I16" s="12">
        <v>1.125</v>
      </c>
      <c r="J16" s="29"/>
      <c r="K16" s="12">
        <v>0.95</v>
      </c>
      <c r="L16" s="29"/>
      <c r="M16" s="12">
        <v>0.82499999999999996</v>
      </c>
      <c r="N16" s="29"/>
      <c r="O16" s="12">
        <v>0.92500000000000004</v>
      </c>
      <c r="P16" s="29"/>
      <c r="Q16" s="12">
        <v>0.9</v>
      </c>
      <c r="R16" s="29"/>
      <c r="S16" s="12">
        <v>1.05</v>
      </c>
      <c r="T16" s="29"/>
      <c r="U16" s="12">
        <v>1.6</v>
      </c>
      <c r="V16" s="29"/>
      <c r="W16" s="12">
        <v>1.825</v>
      </c>
      <c r="X16" s="29"/>
      <c r="Y16" s="12">
        <v>2.0499999999999998</v>
      </c>
      <c r="Z16" s="29"/>
      <c r="AA16" s="12">
        <v>1.25</v>
      </c>
      <c r="AB16" s="29"/>
      <c r="AC16" s="12">
        <v>2.25</v>
      </c>
      <c r="AD16" s="29"/>
      <c r="AE16" s="12">
        <v>2.95</v>
      </c>
      <c r="AF16" s="29"/>
      <c r="AG16" s="12">
        <v>3.5249999999999999</v>
      </c>
      <c r="AH16" s="29"/>
      <c r="AI16" s="12">
        <v>2.8</v>
      </c>
      <c r="AJ16" s="29"/>
      <c r="AK16" s="12">
        <v>2.7250000000000001</v>
      </c>
      <c r="AL16" s="29"/>
      <c r="AM16" s="12">
        <v>0.95</v>
      </c>
      <c r="AN16" s="33"/>
    </row>
    <row r="17" spans="5:40" x14ac:dyDescent="0.3">
      <c r="E17" s="25"/>
      <c r="F17" s="40" t="s">
        <v>8</v>
      </c>
      <c r="G17" s="36">
        <v>0.67500000000000004</v>
      </c>
      <c r="H17" s="29"/>
      <c r="I17" s="12">
        <v>1</v>
      </c>
      <c r="J17" s="29"/>
      <c r="K17" s="12">
        <v>0.6</v>
      </c>
      <c r="L17" s="29"/>
      <c r="M17" s="12">
        <v>0.55000000000000004</v>
      </c>
      <c r="N17" s="29"/>
      <c r="O17" s="12">
        <v>0.72499999999999998</v>
      </c>
      <c r="P17" s="29"/>
      <c r="Q17" s="12">
        <v>1.2250000000000001</v>
      </c>
      <c r="R17" s="29"/>
      <c r="S17" s="12">
        <v>1.2250000000000001</v>
      </c>
      <c r="T17" s="29"/>
      <c r="U17" s="12">
        <v>1.5</v>
      </c>
      <c r="V17" s="29"/>
      <c r="W17" s="12">
        <v>1.7</v>
      </c>
      <c r="X17" s="29"/>
      <c r="Y17" s="12">
        <v>1.8</v>
      </c>
      <c r="Z17" s="29"/>
      <c r="AA17" s="12">
        <v>1.2</v>
      </c>
      <c r="AB17" s="29"/>
      <c r="AC17" s="12">
        <v>2.125</v>
      </c>
      <c r="AD17" s="29"/>
      <c r="AE17" s="12">
        <v>2.7250000000000001</v>
      </c>
      <c r="AF17" s="29"/>
      <c r="AG17" s="12">
        <v>2.625</v>
      </c>
      <c r="AH17" s="29"/>
      <c r="AI17" s="12">
        <v>2</v>
      </c>
      <c r="AJ17" s="29"/>
      <c r="AK17" s="12">
        <v>1.825</v>
      </c>
      <c r="AL17" s="29"/>
      <c r="AM17" s="12">
        <v>0.67500000000000004</v>
      </c>
      <c r="AN17" s="33"/>
    </row>
    <row r="18" spans="5:40" x14ac:dyDescent="0.3">
      <c r="E18" s="25"/>
      <c r="F18" s="40" t="s">
        <v>9</v>
      </c>
      <c r="G18" s="36">
        <v>0.6</v>
      </c>
      <c r="H18" s="29"/>
      <c r="I18" s="12">
        <v>0.47499999999999998</v>
      </c>
      <c r="J18" s="29"/>
      <c r="K18" s="12">
        <v>0.32500000000000001</v>
      </c>
      <c r="L18" s="29"/>
      <c r="M18" s="12">
        <v>0.32500000000000001</v>
      </c>
      <c r="N18" s="29"/>
      <c r="O18" s="12">
        <v>0.32500000000000001</v>
      </c>
      <c r="P18" s="29"/>
      <c r="Q18" s="12">
        <v>0.5</v>
      </c>
      <c r="R18" s="29"/>
      <c r="S18" s="12">
        <v>0.55000000000000004</v>
      </c>
      <c r="T18" s="29"/>
      <c r="U18" s="12">
        <v>0.7</v>
      </c>
      <c r="V18" s="29"/>
      <c r="W18" s="12">
        <v>0.75</v>
      </c>
      <c r="X18" s="29"/>
      <c r="Y18" s="12">
        <v>0.625</v>
      </c>
      <c r="Z18" s="29"/>
      <c r="AA18" s="12">
        <v>0.52500000000000002</v>
      </c>
      <c r="AB18" s="29"/>
      <c r="AC18" s="12">
        <v>0.7</v>
      </c>
      <c r="AD18" s="29"/>
      <c r="AE18" s="12">
        <v>0.85</v>
      </c>
      <c r="AF18" s="29"/>
      <c r="AG18" s="12">
        <v>0.95</v>
      </c>
      <c r="AH18" s="29"/>
      <c r="AI18" s="12">
        <v>0.9</v>
      </c>
      <c r="AJ18" s="29"/>
      <c r="AK18" s="12">
        <v>1</v>
      </c>
      <c r="AL18" s="29"/>
      <c r="AM18" s="12">
        <v>0.6</v>
      </c>
      <c r="AN18" s="33"/>
    </row>
    <row r="19" spans="5:40" ht="27" x14ac:dyDescent="0.3">
      <c r="E19" s="25"/>
      <c r="F19" s="40" t="s">
        <v>10</v>
      </c>
      <c r="G19" s="36">
        <v>1.05</v>
      </c>
      <c r="H19" s="29"/>
      <c r="I19" s="12">
        <v>1.3</v>
      </c>
      <c r="J19" s="29"/>
      <c r="K19" s="12">
        <v>0.875</v>
      </c>
      <c r="L19" s="29"/>
      <c r="M19" s="12">
        <v>0.75</v>
      </c>
      <c r="N19" s="29"/>
      <c r="O19" s="12">
        <v>0.92500000000000004</v>
      </c>
      <c r="P19" s="29"/>
      <c r="Q19" s="12">
        <v>1.25</v>
      </c>
      <c r="R19" s="29"/>
      <c r="S19" s="12">
        <v>1.375</v>
      </c>
      <c r="T19" s="29"/>
      <c r="U19" s="12">
        <v>1.5</v>
      </c>
      <c r="V19" s="29"/>
      <c r="W19" s="12">
        <v>1.925</v>
      </c>
      <c r="X19" s="29"/>
      <c r="Y19" s="12">
        <v>1.85</v>
      </c>
      <c r="Z19" s="29"/>
      <c r="AA19" s="12">
        <v>1.575</v>
      </c>
      <c r="AB19" s="29"/>
      <c r="AC19" s="12">
        <v>2.65</v>
      </c>
      <c r="AD19" s="29"/>
      <c r="AE19" s="12">
        <v>3.0750000000000002</v>
      </c>
      <c r="AF19" s="29"/>
      <c r="AG19" s="12">
        <v>2.7250000000000001</v>
      </c>
      <c r="AH19" s="29"/>
      <c r="AI19" s="12">
        <v>2.5</v>
      </c>
      <c r="AJ19" s="29"/>
      <c r="AK19" s="12">
        <v>2.2749999999999999</v>
      </c>
      <c r="AL19" s="29"/>
      <c r="AM19" s="12">
        <v>1.05</v>
      </c>
      <c r="AN19" s="33"/>
    </row>
    <row r="20" spans="5:40" ht="27" x14ac:dyDescent="0.3">
      <c r="E20" s="25"/>
      <c r="F20" s="40" t="s">
        <v>11</v>
      </c>
      <c r="G20" s="36">
        <v>0.72499999999999998</v>
      </c>
      <c r="H20" s="29"/>
      <c r="I20" s="12">
        <v>1.05</v>
      </c>
      <c r="J20" s="29"/>
      <c r="K20" s="12">
        <v>0.35</v>
      </c>
      <c r="L20" s="29"/>
      <c r="M20" s="12">
        <v>0.35</v>
      </c>
      <c r="N20" s="29"/>
      <c r="O20" s="12">
        <v>0.375</v>
      </c>
      <c r="P20" s="29"/>
      <c r="Q20" s="12">
        <v>0.52500000000000002</v>
      </c>
      <c r="R20" s="29"/>
      <c r="S20" s="12">
        <v>0.57499999999999996</v>
      </c>
      <c r="T20" s="29"/>
      <c r="U20" s="12">
        <v>0.92500000000000004</v>
      </c>
      <c r="V20" s="29"/>
      <c r="W20" s="12">
        <v>0.95</v>
      </c>
      <c r="X20" s="29"/>
      <c r="Y20" s="12">
        <v>0.875</v>
      </c>
      <c r="Z20" s="29"/>
      <c r="AA20" s="12">
        <v>0.57499999999999996</v>
      </c>
      <c r="AB20" s="29"/>
      <c r="AC20" s="12">
        <v>1.2250000000000001</v>
      </c>
      <c r="AD20" s="29"/>
      <c r="AE20" s="12">
        <v>1.5</v>
      </c>
      <c r="AF20" s="29"/>
      <c r="AG20" s="12">
        <v>1.5249999999999999</v>
      </c>
      <c r="AH20" s="29"/>
      <c r="AI20" s="12">
        <v>1.4750000000000001</v>
      </c>
      <c r="AJ20" s="29"/>
      <c r="AK20" s="12">
        <v>1.425</v>
      </c>
      <c r="AL20" s="29"/>
      <c r="AM20" s="12">
        <v>0.72499999999999998</v>
      </c>
      <c r="AN20" s="33"/>
    </row>
    <row r="21" spans="5:40" ht="27" x14ac:dyDescent="0.3">
      <c r="E21" s="25"/>
      <c r="F21" s="40" t="s">
        <v>12</v>
      </c>
      <c r="G21" s="36">
        <v>0.82499999999999996</v>
      </c>
      <c r="H21" s="29"/>
      <c r="I21" s="12">
        <v>1.1000000000000001</v>
      </c>
      <c r="J21" s="29"/>
      <c r="K21" s="12">
        <v>0.47499999999999998</v>
      </c>
      <c r="L21" s="29"/>
      <c r="M21" s="12">
        <v>0.47499999999999998</v>
      </c>
      <c r="N21" s="29"/>
      <c r="O21" s="12">
        <v>0.5</v>
      </c>
      <c r="P21" s="29"/>
      <c r="Q21" s="12">
        <v>0.75</v>
      </c>
      <c r="R21" s="29"/>
      <c r="S21" s="12">
        <v>0.85</v>
      </c>
      <c r="T21" s="29"/>
      <c r="U21" s="12">
        <v>1.125</v>
      </c>
      <c r="V21" s="29"/>
      <c r="W21" s="12">
        <v>1.25</v>
      </c>
      <c r="X21" s="29"/>
      <c r="Y21" s="12">
        <v>1.2</v>
      </c>
      <c r="Z21" s="29"/>
      <c r="AA21" s="12">
        <v>0.92500000000000004</v>
      </c>
      <c r="AB21" s="29"/>
      <c r="AC21" s="12">
        <v>1.675</v>
      </c>
      <c r="AD21" s="29"/>
      <c r="AE21" s="12">
        <v>1.9750000000000001</v>
      </c>
      <c r="AF21" s="29"/>
      <c r="AG21" s="12">
        <v>1.925</v>
      </c>
      <c r="AH21" s="29"/>
      <c r="AI21" s="12">
        <v>1.825</v>
      </c>
      <c r="AJ21" s="29"/>
      <c r="AK21" s="12">
        <v>1.7250000000000001</v>
      </c>
      <c r="AL21" s="29"/>
      <c r="AM21" s="12">
        <v>0.82499999999999996</v>
      </c>
      <c r="AN21" s="33"/>
    </row>
    <row r="22" spans="5:40" x14ac:dyDescent="0.3">
      <c r="E22" s="25"/>
      <c r="F22" s="40" t="s">
        <v>13</v>
      </c>
      <c r="G22" s="36">
        <v>0.67500000000000004</v>
      </c>
      <c r="H22" s="29"/>
      <c r="I22" s="12">
        <v>1.2</v>
      </c>
      <c r="J22" s="29"/>
      <c r="K22" s="12">
        <v>0.47499999999999998</v>
      </c>
      <c r="L22" s="29"/>
      <c r="M22" s="12">
        <v>0.57499999999999996</v>
      </c>
      <c r="N22" s="29"/>
      <c r="O22" s="12">
        <v>0.42499999999999999</v>
      </c>
      <c r="P22" s="29"/>
      <c r="Q22" s="12">
        <v>0.8</v>
      </c>
      <c r="R22" s="29"/>
      <c r="S22" s="12">
        <v>1.0249999999999999</v>
      </c>
      <c r="T22" s="29"/>
      <c r="U22" s="12">
        <v>0.95</v>
      </c>
      <c r="V22" s="29"/>
      <c r="W22" s="12">
        <v>1.3</v>
      </c>
      <c r="X22" s="29"/>
      <c r="Y22" s="12">
        <v>1.55</v>
      </c>
      <c r="Z22" s="29"/>
      <c r="AA22" s="12">
        <v>0.8</v>
      </c>
      <c r="AB22" s="29"/>
      <c r="AC22" s="12">
        <v>1.6</v>
      </c>
      <c r="AD22" s="29"/>
      <c r="AE22" s="12">
        <v>1.675</v>
      </c>
      <c r="AF22" s="29"/>
      <c r="AG22" s="12">
        <v>2.2999999999999998</v>
      </c>
      <c r="AH22" s="29"/>
      <c r="AI22" s="12">
        <v>2</v>
      </c>
      <c r="AJ22" s="29"/>
      <c r="AK22" s="12">
        <v>1.425</v>
      </c>
      <c r="AL22" s="29"/>
      <c r="AM22" s="12">
        <v>0.67500000000000004</v>
      </c>
      <c r="AN22" s="33"/>
    </row>
    <row r="23" spans="5:40" x14ac:dyDescent="0.3">
      <c r="E23" s="25"/>
      <c r="F23" s="40" t="s">
        <v>14</v>
      </c>
      <c r="G23" s="36">
        <v>1.075</v>
      </c>
      <c r="H23" s="29"/>
      <c r="I23" s="12">
        <v>0.97499999999999998</v>
      </c>
      <c r="J23" s="29"/>
      <c r="K23" s="12">
        <v>0.47499999999999998</v>
      </c>
      <c r="L23" s="29"/>
      <c r="M23" s="12">
        <v>0.47499999999999998</v>
      </c>
      <c r="N23" s="29"/>
      <c r="O23" s="12">
        <v>0.52500000000000002</v>
      </c>
      <c r="P23" s="29"/>
      <c r="Q23" s="12">
        <v>0.375</v>
      </c>
      <c r="R23" s="29"/>
      <c r="S23" s="12">
        <v>0.52500000000000002</v>
      </c>
      <c r="T23" s="29"/>
      <c r="U23" s="12">
        <v>1.2</v>
      </c>
      <c r="V23" s="29"/>
      <c r="W23" s="12">
        <v>0.95</v>
      </c>
      <c r="X23" s="29"/>
      <c r="Y23" s="12">
        <v>1</v>
      </c>
      <c r="Z23" s="29"/>
      <c r="AA23" s="12">
        <v>1.35</v>
      </c>
      <c r="AB23" s="29"/>
      <c r="AC23" s="12">
        <v>1.575</v>
      </c>
      <c r="AD23" s="29"/>
      <c r="AE23" s="12">
        <v>1.55</v>
      </c>
      <c r="AF23" s="29"/>
      <c r="AG23" s="12">
        <v>1.675</v>
      </c>
      <c r="AH23" s="29"/>
      <c r="AI23" s="12">
        <v>1.6</v>
      </c>
      <c r="AJ23" s="29"/>
      <c r="AK23" s="12">
        <v>1.75</v>
      </c>
      <c r="AL23" s="29"/>
      <c r="AM23" s="12">
        <v>1.075</v>
      </c>
      <c r="AN23" s="33"/>
    </row>
    <row r="24" spans="5:40" x14ac:dyDescent="0.3">
      <c r="E24" s="25"/>
      <c r="F24" s="40" t="s">
        <v>15</v>
      </c>
      <c r="G24" s="36">
        <v>1.45</v>
      </c>
      <c r="H24" s="29"/>
      <c r="I24" s="12">
        <v>1.2749999999999999</v>
      </c>
      <c r="J24" s="29"/>
      <c r="K24" s="12">
        <v>0.72499999999999998</v>
      </c>
      <c r="L24" s="29"/>
      <c r="M24" s="12">
        <v>0.6</v>
      </c>
      <c r="N24" s="29"/>
      <c r="O24" s="12">
        <v>1.075</v>
      </c>
      <c r="P24" s="29"/>
      <c r="Q24" s="12">
        <v>0.875</v>
      </c>
      <c r="R24" s="29"/>
      <c r="S24" s="12">
        <v>1.3</v>
      </c>
      <c r="T24" s="29"/>
      <c r="U24" s="12">
        <v>2</v>
      </c>
      <c r="V24" s="29"/>
      <c r="W24" s="12">
        <v>1.9</v>
      </c>
      <c r="X24" s="29"/>
      <c r="Y24" s="12">
        <v>1.7749999999999999</v>
      </c>
      <c r="Z24" s="29"/>
      <c r="AA24" s="12">
        <v>1.075</v>
      </c>
      <c r="AB24" s="29"/>
      <c r="AC24" s="12">
        <v>1.5</v>
      </c>
      <c r="AD24" s="29"/>
      <c r="AE24" s="12">
        <v>2.4500000000000002</v>
      </c>
      <c r="AF24" s="29"/>
      <c r="AG24" s="12">
        <v>2.2250000000000001</v>
      </c>
      <c r="AH24" s="29"/>
      <c r="AI24" s="12">
        <v>1.5</v>
      </c>
      <c r="AJ24" s="29"/>
      <c r="AK24" s="12">
        <v>1.8</v>
      </c>
      <c r="AL24" s="29"/>
      <c r="AM24" s="12">
        <v>1.45</v>
      </c>
      <c r="AN24" s="33"/>
    </row>
    <row r="25" spans="5:40" ht="15" thickBot="1" x14ac:dyDescent="0.35">
      <c r="E25" s="26"/>
      <c r="F25" s="41" t="s">
        <v>16</v>
      </c>
      <c r="G25" s="37">
        <v>0.875</v>
      </c>
      <c r="H25" s="30"/>
      <c r="I25" s="13">
        <v>0.72499999999999998</v>
      </c>
      <c r="J25" s="30"/>
      <c r="K25" s="13">
        <v>0.35</v>
      </c>
      <c r="L25" s="30"/>
      <c r="M25" s="13">
        <v>0.27500000000000002</v>
      </c>
      <c r="N25" s="30"/>
      <c r="O25" s="13">
        <v>0.6</v>
      </c>
      <c r="P25" s="30"/>
      <c r="Q25" s="13">
        <v>0.77500000000000002</v>
      </c>
      <c r="R25" s="30"/>
      <c r="S25" s="13">
        <v>0.77500000000000002</v>
      </c>
      <c r="T25" s="30"/>
      <c r="U25" s="13">
        <v>1.375</v>
      </c>
      <c r="V25" s="30"/>
      <c r="W25" s="13">
        <v>1.25</v>
      </c>
      <c r="X25" s="30"/>
      <c r="Y25" s="13">
        <v>1.05</v>
      </c>
      <c r="Z25" s="30"/>
      <c r="AA25" s="13">
        <v>0.9</v>
      </c>
      <c r="AB25" s="30"/>
      <c r="AC25" s="13">
        <v>1.5</v>
      </c>
      <c r="AD25" s="30"/>
      <c r="AE25" s="13">
        <v>2.2749999999999999</v>
      </c>
      <c r="AF25" s="30"/>
      <c r="AG25" s="13">
        <v>2.375</v>
      </c>
      <c r="AH25" s="30"/>
      <c r="AI25" s="13">
        <v>2.15</v>
      </c>
      <c r="AJ25" s="30"/>
      <c r="AK25" s="13">
        <v>1.85</v>
      </c>
      <c r="AL25" s="30"/>
      <c r="AM25" s="13">
        <v>0.875</v>
      </c>
      <c r="AN25" s="34"/>
    </row>
    <row r="26" spans="5:40" x14ac:dyDescent="0.3">
      <c r="E26" s="8"/>
      <c r="F26" s="9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11"/>
      <c r="AB26" s="10"/>
      <c r="AC26" s="11"/>
      <c r="AD26" s="10"/>
      <c r="AE26" s="11"/>
      <c r="AF26" s="10"/>
      <c r="AG26" s="11"/>
      <c r="AH26" s="10"/>
      <c r="AI26" s="11"/>
      <c r="AJ26" s="10"/>
      <c r="AK26" s="11"/>
      <c r="AL26" s="10"/>
    </row>
    <row r="29" spans="5:40" x14ac:dyDescent="0.3">
      <c r="AB29" s="1"/>
    </row>
    <row r="30" spans="5:40" x14ac:dyDescent="0.3">
      <c r="G30" s="6"/>
      <c r="H30" s="1"/>
    </row>
    <row r="31" spans="5:40" x14ac:dyDescent="0.3">
      <c r="E31" s="6"/>
      <c r="G31" s="6"/>
    </row>
    <row r="37" spans="5:27" x14ac:dyDescent="0.3">
      <c r="AA37" s="6"/>
    </row>
    <row r="38" spans="5:27" x14ac:dyDescent="0.3">
      <c r="AA38" s="6"/>
    </row>
    <row r="41" spans="5:27" x14ac:dyDescent="0.3">
      <c r="L41" s="1"/>
    </row>
    <row r="43" spans="5:27" x14ac:dyDescent="0.3"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5:27" x14ac:dyDescent="0.3"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5:27" x14ac:dyDescent="0.3"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5:27" x14ac:dyDescent="0.3"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5:27" x14ac:dyDescent="0.3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5:27" x14ac:dyDescent="0.3">
      <c r="E48" s="3"/>
      <c r="F48" s="3"/>
      <c r="G48" s="3"/>
      <c r="H48" s="3"/>
      <c r="I48" s="3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5:22" x14ac:dyDescent="0.3">
      <c r="E49" s="3"/>
      <c r="F49" s="3"/>
      <c r="G49" s="3"/>
      <c r="H49" s="3"/>
      <c r="I49" s="3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5:22" x14ac:dyDescent="0.3">
      <c r="E50" s="3"/>
      <c r="F50" s="3"/>
      <c r="G50" s="3"/>
      <c r="H50" s="3"/>
      <c r="I50" s="3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5:22" x14ac:dyDescent="0.3">
      <c r="E51" s="3"/>
      <c r="F51" s="3"/>
      <c r="G51" s="3"/>
      <c r="H51" s="3"/>
      <c r="I51" s="3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</sheetData>
  <mergeCells count="54">
    <mergeCell ref="S7:T7"/>
    <mergeCell ref="U7:V7"/>
    <mergeCell ref="W7:X7"/>
    <mergeCell ref="G7:H7"/>
    <mergeCell ref="AK7:AL7"/>
    <mergeCell ref="Y7:Z7"/>
    <mergeCell ref="AA7:AB7"/>
    <mergeCell ref="AC7:AD7"/>
    <mergeCell ref="AE7:AF7"/>
    <mergeCell ref="AG7:AH7"/>
    <mergeCell ref="AI7:AJ7"/>
    <mergeCell ref="P9:P13"/>
    <mergeCell ref="N9:N13"/>
    <mergeCell ref="R9:R13"/>
    <mergeCell ref="E9:E13"/>
    <mergeCell ref="I7:J7"/>
    <mergeCell ref="K7:L7"/>
    <mergeCell ref="H9:H13"/>
    <mergeCell ref="J9:J13"/>
    <mergeCell ref="L9:L13"/>
    <mergeCell ref="E7:F8"/>
    <mergeCell ref="M7:N7"/>
    <mergeCell ref="O7:P7"/>
    <mergeCell ref="Q7:R7"/>
    <mergeCell ref="Z9:Z13"/>
    <mergeCell ref="X9:X13"/>
    <mergeCell ref="V9:V13"/>
    <mergeCell ref="T9:T13"/>
    <mergeCell ref="AL9:AL13"/>
    <mergeCell ref="AJ9:AJ13"/>
    <mergeCell ref="AH9:AH13"/>
    <mergeCell ref="AF9:AF13"/>
    <mergeCell ref="AD9:AD13"/>
    <mergeCell ref="AF14:AF25"/>
    <mergeCell ref="AD14:AD25"/>
    <mergeCell ref="AL14:AL25"/>
    <mergeCell ref="AJ14:AJ25"/>
    <mergeCell ref="AB9:AB13"/>
    <mergeCell ref="AN14:AN25"/>
    <mergeCell ref="AM7:AN7"/>
    <mergeCell ref="AN9:AN13"/>
    <mergeCell ref="E14:E25"/>
    <mergeCell ref="H14:H25"/>
    <mergeCell ref="J14:J25"/>
    <mergeCell ref="L14:L25"/>
    <mergeCell ref="N14:N25"/>
    <mergeCell ref="P14:P25"/>
    <mergeCell ref="R14:R25"/>
    <mergeCell ref="T14:T25"/>
    <mergeCell ref="V14:V25"/>
    <mergeCell ref="X14:X25"/>
    <mergeCell ref="Z14:Z25"/>
    <mergeCell ref="AB14:AB25"/>
    <mergeCell ref="AH14:AH2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191C-CF87-48EF-8F0A-30318EB3ABAC}">
  <dimension ref="A1:B18"/>
  <sheetViews>
    <sheetView workbookViewId="0">
      <selection sqref="A1:B18"/>
    </sheetView>
  </sheetViews>
  <sheetFormatPr defaultRowHeight="14.4" x14ac:dyDescent="0.3"/>
  <cols>
    <col min="1" max="1" width="58.6640625" bestFit="1" customWidth="1"/>
  </cols>
  <sheetData>
    <row r="1" spans="1:2" x14ac:dyDescent="0.3">
      <c r="A1" s="1" t="s">
        <v>21</v>
      </c>
      <c r="B1" s="1">
        <f>data!AM7</f>
        <v>2026</v>
      </c>
    </row>
    <row r="2" spans="1:2" x14ac:dyDescent="0.3">
      <c r="A2" t="str">
        <f>data!F9</f>
        <v>Mining and quarrying</v>
      </c>
      <c r="B2">
        <f>data!AM9</f>
        <v>0.125</v>
      </c>
    </row>
    <row r="3" spans="1:2" x14ac:dyDescent="0.3">
      <c r="A3" t="str">
        <f>data!F10</f>
        <v>Manufacturing activities</v>
      </c>
      <c r="B3">
        <f>data!AM10</f>
        <v>0.47499999999999998</v>
      </c>
    </row>
    <row r="4" spans="1:2" x14ac:dyDescent="0.3">
      <c r="A4" t="str">
        <f>data!F11</f>
        <v>Electricity, gas, steam and air conditioning supply</v>
      </c>
      <c r="B4">
        <f>data!AM11</f>
        <v>0.32500000000000001</v>
      </c>
    </row>
    <row r="5" spans="1:2" x14ac:dyDescent="0.3">
      <c r="A5" t="str">
        <f>data!F12</f>
        <v>Water supply; sewerage, waste management and remediation activities</v>
      </c>
      <c r="B5">
        <f>data!AM12</f>
        <v>0.42499999999999999</v>
      </c>
    </row>
    <row r="6" spans="1:2" x14ac:dyDescent="0.3">
      <c r="A6" t="str">
        <f>data!F13</f>
        <v>Construction</v>
      </c>
      <c r="B6">
        <f>data!AM13</f>
        <v>0.67500000000000004</v>
      </c>
    </row>
    <row r="7" spans="1:2" x14ac:dyDescent="0.3">
      <c r="A7" t="str">
        <f>data!F14</f>
        <v>Wholesale and retail trade; repair of motor vehicles and motorcycles</v>
      </c>
      <c r="B7">
        <f>data!AM14</f>
        <v>0.95</v>
      </c>
    </row>
    <row r="8" spans="1:2" x14ac:dyDescent="0.3">
      <c r="A8" t="str">
        <f>data!F15</f>
        <v>Transportation and storage</v>
      </c>
      <c r="B8">
        <f>data!AM15</f>
        <v>0.55000000000000004</v>
      </c>
    </row>
    <row r="9" spans="1:2" x14ac:dyDescent="0.3">
      <c r="A9" t="str">
        <f>data!F16</f>
        <v>Accommodation and food service activities</v>
      </c>
      <c r="B9">
        <f>data!AM16</f>
        <v>0.95</v>
      </c>
    </row>
    <row r="10" spans="1:2" x14ac:dyDescent="0.3">
      <c r="A10" t="str">
        <f>data!F17</f>
        <v>Information and communication services</v>
      </c>
      <c r="B10">
        <f>data!AM17</f>
        <v>0.67500000000000004</v>
      </c>
    </row>
    <row r="11" spans="1:2" x14ac:dyDescent="0.3">
      <c r="A11" t="str">
        <f>data!F18</f>
        <v>Financial and insurance activities</v>
      </c>
      <c r="B11">
        <f>data!AM18</f>
        <v>0.6</v>
      </c>
    </row>
    <row r="12" spans="1:2" x14ac:dyDescent="0.3">
      <c r="A12" t="str">
        <f>data!F19</f>
        <v>Professional, scientific and technical activities</v>
      </c>
      <c r="B12">
        <f>data!AM19</f>
        <v>1.05</v>
      </c>
    </row>
    <row r="13" spans="1:2" x14ac:dyDescent="0.3">
      <c r="A13" t="str">
        <f>data!F20</f>
        <v>Rental, travel agency, business support services</v>
      </c>
      <c r="B13">
        <f>data!AM20</f>
        <v>0.72499999999999998</v>
      </c>
    </row>
    <row r="14" spans="1:2" x14ac:dyDescent="0.3">
      <c r="A14" t="str">
        <f>data!F21</f>
        <v>Real estate, professional and rental activities (Grouped)</v>
      </c>
      <c r="B14">
        <f>data!AM21</f>
        <v>0.82499999999999996</v>
      </c>
    </row>
    <row r="15" spans="1:2" x14ac:dyDescent="0.3">
      <c r="A15" t="str">
        <f>data!F22</f>
        <v>Education</v>
      </c>
      <c r="B15">
        <f>data!AM22</f>
        <v>0.67500000000000004</v>
      </c>
    </row>
    <row r="16" spans="1:2" x14ac:dyDescent="0.3">
      <c r="A16" t="str">
        <f>data!F23</f>
        <v>Human health and social work activities</v>
      </c>
      <c r="B16">
        <f>data!AM23</f>
        <v>1.075</v>
      </c>
    </row>
    <row r="17" spans="1:2" x14ac:dyDescent="0.3">
      <c r="A17" t="str">
        <f>data!F24</f>
        <v>Arts, sports, entertainment and recreation</v>
      </c>
      <c r="B17">
        <f>data!AM24</f>
        <v>1.45</v>
      </c>
    </row>
    <row r="18" spans="1:2" x14ac:dyDescent="0.3">
      <c r="A18" t="str">
        <f>data!F25</f>
        <v>Other service activities</v>
      </c>
      <c r="B18">
        <f>data!AM25</f>
        <v>0.875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3338-DE10-4A99-A1AE-E0B84D577D8E}">
  <dimension ref="E7:V26"/>
  <sheetViews>
    <sheetView topLeftCell="D4" zoomScale="70" zoomScaleNormal="70" workbookViewId="0">
      <selection activeCell="W9" sqref="W9"/>
    </sheetView>
  </sheetViews>
  <sheetFormatPr defaultRowHeight="14.4" x14ac:dyDescent="0.3"/>
  <cols>
    <col min="5" max="5" width="21.6640625" customWidth="1"/>
    <col min="6" max="6" width="14.33203125" bestFit="1" customWidth="1"/>
  </cols>
  <sheetData>
    <row r="7" spans="5:22" ht="15" thickBot="1" x14ac:dyDescent="0.35"/>
    <row r="8" spans="5:22" x14ac:dyDescent="0.3">
      <c r="E8" s="14"/>
      <c r="F8" s="16">
        <v>2010</v>
      </c>
      <c r="G8" s="16">
        <v>2011</v>
      </c>
      <c r="H8" s="16">
        <v>2012</v>
      </c>
      <c r="I8" s="16">
        <v>2013</v>
      </c>
      <c r="J8" s="16">
        <v>2014</v>
      </c>
      <c r="K8" s="16">
        <v>2015</v>
      </c>
      <c r="L8" s="16">
        <v>2016</v>
      </c>
      <c r="M8" s="16">
        <v>2017</v>
      </c>
      <c r="N8" s="16">
        <v>2018</v>
      </c>
      <c r="O8" s="16">
        <v>2019</v>
      </c>
      <c r="P8" s="16">
        <v>2020</v>
      </c>
      <c r="Q8" s="16">
        <v>2021</v>
      </c>
      <c r="R8" s="16">
        <v>2022</v>
      </c>
      <c r="S8" s="16">
        <v>2023</v>
      </c>
      <c r="T8" s="16">
        <v>2024</v>
      </c>
      <c r="U8" s="16">
        <v>2025</v>
      </c>
      <c r="V8" s="17">
        <v>2026</v>
      </c>
    </row>
    <row r="9" spans="5:22" ht="15" thickBot="1" x14ac:dyDescent="0.35">
      <c r="E9" s="19" t="s">
        <v>20</v>
      </c>
      <c r="F9" s="15">
        <f>data!H9</f>
        <v>6319.5</v>
      </c>
      <c r="G9" s="15">
        <f>data!J9</f>
        <v>6278.25</v>
      </c>
      <c r="H9" s="15">
        <f>data!L9</f>
        <v>6076.5</v>
      </c>
      <c r="I9" s="15">
        <f>data!N9</f>
        <v>5848</v>
      </c>
      <c r="J9" s="15">
        <f>data!P9</f>
        <v>5856.25</v>
      </c>
      <c r="K9" s="15">
        <f>data!R9</f>
        <v>5855.75</v>
      </c>
      <c r="L9" s="15">
        <f>data!P9</f>
        <v>5856.25</v>
      </c>
      <c r="M9" s="15">
        <f>data!T9</f>
        <v>5850.75</v>
      </c>
      <c r="N9" s="15">
        <f>data!V9</f>
        <v>5898.75</v>
      </c>
      <c r="O9" s="15">
        <f>data!X9</f>
        <v>5976.25</v>
      </c>
      <c r="P9" s="15">
        <f>data!Z9</f>
        <v>5977</v>
      </c>
      <c r="Q9" s="15">
        <f>data!AB9</f>
        <v>5913.75</v>
      </c>
      <c r="R9" s="15">
        <f>data!AD9</f>
        <v>6001</v>
      </c>
      <c r="S9" s="15">
        <f>data!AF9</f>
        <v>6197.75</v>
      </c>
      <c r="T9" s="15">
        <f>data!AH9</f>
        <v>6284.25</v>
      </c>
      <c r="U9" s="15">
        <f>data!AJ9</f>
        <v>6370</v>
      </c>
      <c r="V9" s="15">
        <f>data!AN9</f>
        <v>6319.5</v>
      </c>
    </row>
    <row r="10" spans="5:22" ht="15" thickBot="1" x14ac:dyDescent="0.35">
      <c r="E10" s="20" t="s">
        <v>19</v>
      </c>
      <c r="F10" s="15">
        <f>data!H14</f>
        <v>15175.5</v>
      </c>
      <c r="G10" s="15">
        <f>data!J14</f>
        <v>15305</v>
      </c>
      <c r="H10" s="15">
        <f>data!L14</f>
        <v>15386.25</v>
      </c>
      <c r="I10" s="15">
        <f>data!N14</f>
        <v>15226.25</v>
      </c>
      <c r="J10" s="15">
        <f>data!P14</f>
        <v>15270.5</v>
      </c>
      <c r="K10" s="15">
        <f>data!R14</f>
        <v>15438</v>
      </c>
      <c r="L10" s="15">
        <f>data!P14</f>
        <v>15270.5</v>
      </c>
      <c r="M10" s="15">
        <f>data!T14</f>
        <v>15724.5</v>
      </c>
      <c r="N10" s="15">
        <f>data!V14</f>
        <v>15973.5</v>
      </c>
      <c r="O10" s="15">
        <f>data!X14</f>
        <v>16119.75</v>
      </c>
      <c r="P10" s="15">
        <f>data!Z14</f>
        <v>16228.25</v>
      </c>
      <c r="Q10" s="15">
        <f>data!AB14</f>
        <v>15560.75</v>
      </c>
      <c r="R10" s="15">
        <f>data!AD14</f>
        <v>15640.75</v>
      </c>
      <c r="S10" s="15">
        <f>data!AF14</f>
        <v>16047</v>
      </c>
      <c r="T10" s="15">
        <f>data!AH14</f>
        <v>16444</v>
      </c>
      <c r="U10" s="15">
        <f>data!AJ14</f>
        <v>16762.25</v>
      </c>
      <c r="V10" s="15">
        <f>data!AN14</f>
        <v>15175.5</v>
      </c>
    </row>
    <row r="11" spans="5:22" x14ac:dyDescent="0.3">
      <c r="E11" s="7"/>
      <c r="F11" s="18"/>
    </row>
    <row r="12" spans="5:22" x14ac:dyDescent="0.3">
      <c r="E12" s="7"/>
      <c r="F12" s="18"/>
    </row>
    <row r="13" spans="5:22" x14ac:dyDescent="0.3">
      <c r="E13" s="7"/>
      <c r="F13" s="18"/>
    </row>
    <row r="14" spans="5:22" x14ac:dyDescent="0.3">
      <c r="E14" s="8"/>
      <c r="F14" s="18"/>
    </row>
    <row r="15" spans="5:22" x14ac:dyDescent="0.3">
      <c r="E15" s="8"/>
      <c r="F15" s="18"/>
    </row>
    <row r="16" spans="5:22" x14ac:dyDescent="0.3">
      <c r="E16" s="8"/>
      <c r="F16" s="18"/>
    </row>
    <row r="17" spans="5:6" x14ac:dyDescent="0.3">
      <c r="E17" s="8"/>
      <c r="F17" s="18"/>
    </row>
    <row r="18" spans="5:6" x14ac:dyDescent="0.3">
      <c r="E18" s="8"/>
      <c r="F18" s="18"/>
    </row>
    <row r="19" spans="5:6" x14ac:dyDescent="0.3">
      <c r="E19" s="8"/>
      <c r="F19" s="18"/>
    </row>
    <row r="20" spans="5:6" x14ac:dyDescent="0.3">
      <c r="E20" s="8"/>
      <c r="F20" s="18"/>
    </row>
    <row r="21" spans="5:6" x14ac:dyDescent="0.3">
      <c r="E21" s="8"/>
      <c r="F21" s="18"/>
    </row>
    <row r="22" spans="5:6" x14ac:dyDescent="0.3">
      <c r="E22" s="8"/>
      <c r="F22" s="18"/>
    </row>
    <row r="23" spans="5:6" x14ac:dyDescent="0.3">
      <c r="E23" s="8"/>
    </row>
    <row r="24" spans="5:6" x14ac:dyDescent="0.3">
      <c r="E24" s="8"/>
    </row>
    <row r="25" spans="5:6" x14ac:dyDescent="0.3">
      <c r="E25" s="8"/>
    </row>
    <row r="26" spans="5:6" x14ac:dyDescent="0.3">
      <c r="E2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9228-A2ED-4132-9E0B-F0FAC0CEB3B0}">
  <dimension ref="A1:Q25"/>
  <sheetViews>
    <sheetView topLeftCell="A16" zoomScale="70" zoomScaleNormal="70" workbookViewId="0">
      <selection activeCell="V35" sqref="V35"/>
    </sheetView>
  </sheetViews>
  <sheetFormatPr defaultRowHeight="14.4" x14ac:dyDescent="0.3"/>
  <cols>
    <col min="1" max="1" width="62.5546875" bestFit="1" customWidth="1"/>
    <col min="4" max="4" width="10.21875" customWidth="1"/>
  </cols>
  <sheetData>
    <row r="1" spans="1:17" ht="15" thickBot="1" x14ac:dyDescent="0.35">
      <c r="A1" s="55" t="s">
        <v>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pans="1:17" ht="15" thickBot="1" x14ac:dyDescent="0.35">
      <c r="A2" s="62"/>
      <c r="B2" s="58">
        <v>2011</v>
      </c>
      <c r="C2" s="53">
        <v>2012</v>
      </c>
      <c r="D2" s="53">
        <v>2013</v>
      </c>
      <c r="E2" s="53">
        <v>2014</v>
      </c>
      <c r="F2" s="53">
        <v>2015</v>
      </c>
      <c r="G2" s="53">
        <v>2016</v>
      </c>
      <c r="H2" s="53">
        <v>2017</v>
      </c>
      <c r="I2" s="53">
        <v>2018</v>
      </c>
      <c r="J2" s="53">
        <v>2019</v>
      </c>
      <c r="K2" s="53">
        <v>2020</v>
      </c>
      <c r="L2" s="53">
        <v>2021</v>
      </c>
      <c r="M2" s="53">
        <v>2022</v>
      </c>
      <c r="N2" s="53">
        <v>2023</v>
      </c>
      <c r="O2" s="53">
        <v>2024</v>
      </c>
      <c r="P2" s="53">
        <v>2025</v>
      </c>
      <c r="Q2" s="54">
        <v>2026</v>
      </c>
    </row>
    <row r="3" spans="1:17" x14ac:dyDescent="0.3">
      <c r="A3" s="63" t="str">
        <f>data!F9</f>
        <v>Mining and quarrying</v>
      </c>
      <c r="B3" s="59">
        <f>(data!I9 - data!G9) / data!G9 * 100</f>
        <v>39.999999999999993</v>
      </c>
      <c r="C3" s="51">
        <f>(data!K9 - data!I9) / data!I9 * 100</f>
        <v>85.714285714285737</v>
      </c>
      <c r="D3" s="51">
        <f>(data!M9 - data!K9) / data!K9 * 100</f>
        <v>46.153846153846139</v>
      </c>
      <c r="E3" s="51">
        <f>(data!O9 - data!M9) / data!M9 * 100</f>
        <v>-68.421052631578931</v>
      </c>
      <c r="F3" s="51">
        <f>(data!Q9 - data!O9) / data!O9 * 100</f>
        <v>-16.666666666666664</v>
      </c>
      <c r="G3" s="51">
        <f>(data!S9 - data!Q9) / data!Q9 * 100</f>
        <v>120.00000000000001</v>
      </c>
      <c r="H3" s="51">
        <f>(data!U9 - data!S9) / data!S9 * 100</f>
        <v>109.09090909090907</v>
      </c>
      <c r="I3" s="51">
        <f>(data!W9 - data!U9) / data!U9 * 100</f>
        <v>130.43478260869566</v>
      </c>
      <c r="J3" s="51">
        <f>(data!Y9 - data!W9) / data!W9 * 100</f>
        <v>-9.433962264150944</v>
      </c>
      <c r="K3" s="51">
        <f>(data!AA9 - data!Y9) / data!Y9 * 100</f>
        <v>-81.25</v>
      </c>
      <c r="L3" s="51">
        <f>(data!AC9 - data!AA9) / data!AA9 * 100</f>
        <v>77.777777777777786</v>
      </c>
      <c r="M3" s="51">
        <f>(data!AE9 - data!AC9) / data!AC9 * 100</f>
        <v>187.49999999999994</v>
      </c>
      <c r="N3" s="51">
        <f>(data!AG9 - data!AE9) / data!AE9 * 100</f>
        <v>19.565217391304358</v>
      </c>
      <c r="O3" s="51">
        <f>(data!AI9 - data!AG9) / data!AG9 * 100</f>
        <v>-1.8181818181818119</v>
      </c>
      <c r="P3" s="51">
        <f>(data!AK9 - data!AI9) / data!AI9 * 100</f>
        <v>-57.407407407407419</v>
      </c>
      <c r="Q3" s="52">
        <f>(data!AM9 - data!AK9) / data!AK9 * 100</f>
        <v>-78.260869565217391</v>
      </c>
    </row>
    <row r="4" spans="1:17" x14ac:dyDescent="0.3">
      <c r="A4" s="64" t="str">
        <f>data!F10</f>
        <v>Manufacturing activities</v>
      </c>
      <c r="B4" s="60">
        <f>(data!I10 - data!G10) / data!G10 * 100</f>
        <v>21.052631578947363</v>
      </c>
      <c r="C4" s="21">
        <f>(data!K10 - data!I10) / data!I10 * 100</f>
        <v>-26.086956521739125</v>
      </c>
      <c r="D4" s="21">
        <f>(data!M10 - data!K10) / data!K10 * 100</f>
        <v>-5.882352941176463</v>
      </c>
      <c r="E4" s="21">
        <f>(data!O10 - data!M10) / data!M10 * 100</f>
        <v>24.999999999999993</v>
      </c>
      <c r="F4" s="21">
        <f>(data!Q10 - data!O10) / data!O10 * 100</f>
        <v>25</v>
      </c>
      <c r="G4" s="21">
        <f>(data!S10 - data!Q10) / data!Q10 * 100</f>
        <v>8.0000000000000071</v>
      </c>
      <c r="H4" s="21">
        <f>(data!U10 - data!S10) / data!S10 * 100</f>
        <v>25.925925925925913</v>
      </c>
      <c r="I4" s="21">
        <f>(data!W10 - data!U10) / data!U10 * 100</f>
        <v>14.705882352941178</v>
      </c>
      <c r="J4" s="21">
        <f>(data!Y10 - data!W10) / data!W10 * 100</f>
        <v>-7.692307692307689</v>
      </c>
      <c r="K4" s="21">
        <f>(data!AA10 - data!Y10) / data!Y10 * 100</f>
        <v>-33.333333333333336</v>
      </c>
      <c r="L4" s="21">
        <f>(data!AC10 - data!AA10) / data!AA10 * 100</f>
        <v>129.16666666666669</v>
      </c>
      <c r="M4" s="21">
        <f>(data!AE10 - data!AC10) / data!AC10 * 100</f>
        <v>23.636363636363633</v>
      </c>
      <c r="N4" s="21">
        <f>(data!AG10 - data!AE10) / data!AE10 * 100</f>
        <v>0</v>
      </c>
      <c r="O4" s="21">
        <f>(data!AI10 - data!AG10) / data!AG10 * 100</f>
        <v>-11.764705882352938</v>
      </c>
      <c r="P4" s="21">
        <f>(data!AK10 - data!AI10) / data!AI10 * 100</f>
        <v>-8.3333333333333321</v>
      </c>
      <c r="Q4" s="49">
        <f>(data!AM10 - data!AK10) / data!AK10 * 100</f>
        <v>-65.454545454545453</v>
      </c>
    </row>
    <row r="5" spans="1:17" x14ac:dyDescent="0.3">
      <c r="A5" s="64" t="str">
        <f>data!F11</f>
        <v>Electricity, gas, steam and air conditioning supply</v>
      </c>
      <c r="B5" s="60">
        <f>(data!I11 - data!G11) / data!G11 * 100</f>
        <v>0</v>
      </c>
      <c r="C5" s="21">
        <f>(data!K11 - data!I11) / data!I11 * 100</f>
        <v>-53.846153846153854</v>
      </c>
      <c r="D5" s="21">
        <f>(data!M11 - data!K11) / data!K11 * 100</f>
        <v>416.66666666666669</v>
      </c>
      <c r="E5" s="21">
        <f>(data!O11 - data!M11) / data!M11 * 100</f>
        <v>-25.806451612903235</v>
      </c>
      <c r="F5" s="21">
        <f>(data!Q11 - data!O11) / data!O11 * 100</f>
        <v>-52.173913043478251</v>
      </c>
      <c r="G5" s="21">
        <f>(data!S11 - data!Q11) / data!Q11 * 100</f>
        <v>127.27272727272725</v>
      </c>
      <c r="H5" s="21">
        <f>(data!U11 - data!S11) / data!S11 * 100</f>
        <v>-15.999999999999998</v>
      </c>
      <c r="I5" s="21">
        <f>(data!W11 - data!U11) / data!U11 * 100</f>
        <v>4.7619047619047654</v>
      </c>
      <c r="J5" s="21">
        <f>(data!Y11 - data!W11) / data!W11 * 100</f>
        <v>27.272727272727256</v>
      </c>
      <c r="K5" s="21">
        <f>(data!AA11 - data!Y11) / data!Y11 * 100</f>
        <v>-24.999999999999993</v>
      </c>
      <c r="L5" s="21">
        <f>(data!AC11 - data!AA11) / data!AA11 * 100</f>
        <v>80.952380952380935</v>
      </c>
      <c r="M5" s="21">
        <f>(data!AE11 - data!AC11) / data!AC11 * 100</f>
        <v>13.157894736842104</v>
      </c>
      <c r="N5" s="21">
        <f>(data!AG11 - data!AE11) / data!AE11 * 100</f>
        <v>-9.3023255813953476</v>
      </c>
      <c r="O5" s="21">
        <f>(data!AI11 - data!AG11) / data!AG11 * 100</f>
        <v>12.820512820512834</v>
      </c>
      <c r="P5" s="21">
        <f>(data!AK11 - data!AI11) / data!AI11 * 100</f>
        <v>-25.000000000000011</v>
      </c>
      <c r="Q5" s="49">
        <f>(data!AM11 - data!AK11) / data!AK11 * 100</f>
        <v>-60.606060606060609</v>
      </c>
    </row>
    <row r="6" spans="1:17" x14ac:dyDescent="0.3">
      <c r="A6" s="64" t="str">
        <f>data!F12</f>
        <v>Water supply; sewerage, waste management and remediation activities</v>
      </c>
      <c r="B6" s="60">
        <f>(data!I12 - data!G12) / data!G12 * 100</f>
        <v>52.941176470588246</v>
      </c>
      <c r="C6" s="21">
        <f>(data!K12 - data!I12) / data!I12 * 100</f>
        <v>-50</v>
      </c>
      <c r="D6" s="21">
        <f>(data!M12 - data!K12) / data!K12 * 100</f>
        <v>-7.6923076923076987</v>
      </c>
      <c r="E6" s="21">
        <f>(data!O12 - data!M12) / data!M12 * 100</f>
        <v>-16.666666666666664</v>
      </c>
      <c r="F6" s="21">
        <f>(data!Q12 - data!O12) / data!O12 * 100</f>
        <v>0</v>
      </c>
      <c r="G6" s="21">
        <f>(data!S12 - data!Q12) / data!Q12 * 100</f>
        <v>60.000000000000007</v>
      </c>
      <c r="H6" s="21">
        <f>(data!U12 - data!S12) / data!S12 * 100</f>
        <v>31.25</v>
      </c>
      <c r="I6" s="21">
        <f>(data!W12 - data!U12) / data!U12 * 100</f>
        <v>38.095238095238088</v>
      </c>
      <c r="J6" s="21">
        <f>(data!Y12 - data!W12) / data!W12 * 100</f>
        <v>10.344827586206906</v>
      </c>
      <c r="K6" s="21">
        <f>(data!AA12 - data!Y12) / data!Y12 * 100</f>
        <v>9.3749999999999947</v>
      </c>
      <c r="L6" s="21">
        <f>(data!AC12 - data!AA12) / data!AA12 * 100</f>
        <v>28.571428571428569</v>
      </c>
      <c r="M6" s="21">
        <f>(data!AE12 - data!AC12) / data!AC12 * 100</f>
        <v>2.2222222222222143</v>
      </c>
      <c r="N6" s="21">
        <f>(data!AG12 - data!AE12) / data!AE12 * 100</f>
        <v>39.130434782608717</v>
      </c>
      <c r="O6" s="21">
        <f>(data!AI12 - data!AG12) / data!AG12 * 100</f>
        <v>-29.687500000000007</v>
      </c>
      <c r="P6" s="21">
        <f>(data!AK12 - data!AI12) / data!AI12 * 100</f>
        <v>-2.2222222222222143</v>
      </c>
      <c r="Q6" s="49">
        <f>(data!AM12 - data!AK12) / data!AK12 * 100</f>
        <v>-61.363636363636367</v>
      </c>
    </row>
    <row r="7" spans="1:17" x14ac:dyDescent="0.3">
      <c r="A7" s="64" t="str">
        <f>data!F13</f>
        <v>Construction</v>
      </c>
      <c r="B7" s="60">
        <f>(data!I13 - data!G13) / data!G13 * 100</f>
        <v>3.7037037037036904</v>
      </c>
      <c r="C7" s="21">
        <f>(data!K13 - data!I13) / data!I13 * 100</f>
        <v>-3.5714285714285587</v>
      </c>
      <c r="D7" s="21">
        <f>(data!M13 - data!K13) / data!K13 * 100</f>
        <v>-29.62962962962964</v>
      </c>
      <c r="E7" s="21">
        <f>(data!O13 - data!M13) / data!M13 * 100</f>
        <v>36.842105263157904</v>
      </c>
      <c r="F7" s="21">
        <f>(data!Q13 - data!O13) / data!O13 * 100</f>
        <v>-3.8461538461538494</v>
      </c>
      <c r="G7" s="21">
        <f>(data!S13 - data!Q13) / data!Q13 * 100</f>
        <v>11.999999999999993</v>
      </c>
      <c r="H7" s="21">
        <f>(data!U13 - data!S13) / data!S13 * 100</f>
        <v>46.428571428571423</v>
      </c>
      <c r="I7" s="21">
        <f>(data!W13 - data!U13) / data!U13 * 100</f>
        <v>46.341463414634163</v>
      </c>
      <c r="J7" s="21">
        <f>(data!Y13 - data!W13) / data!W13 * 100</f>
        <v>9.9999999999999929</v>
      </c>
      <c r="K7" s="21">
        <f>(data!AA13 - data!Y13) / data!Y13 * 100</f>
        <v>-28.787878787878778</v>
      </c>
      <c r="L7" s="21">
        <f>(data!AC13 - data!AA13) / data!AA13 * 100</f>
        <v>61.702127659574458</v>
      </c>
      <c r="M7" s="21">
        <f>(data!AE13 - data!AC13) / data!AC13 * 100</f>
        <v>21.052631578947363</v>
      </c>
      <c r="N7" s="21">
        <f>(data!AG13 - data!AE13) / data!AE13 * 100</f>
        <v>21.739130434782609</v>
      </c>
      <c r="O7" s="21">
        <f>(data!AI13 - data!AG13) / data!AG13 * 100</f>
        <v>-6.2499999999999938</v>
      </c>
      <c r="P7" s="21">
        <f>(data!AK13 - data!AI13) / data!AI13 * 100</f>
        <v>-17.142857142857149</v>
      </c>
      <c r="Q7" s="49">
        <f>(data!AM13 - data!AK13) / data!AK13 * 100</f>
        <v>-68.965517241379303</v>
      </c>
    </row>
    <row r="8" spans="1:17" x14ac:dyDescent="0.3">
      <c r="A8" s="64" t="str">
        <f>data!F14</f>
        <v>Wholesale and retail trade; repair of motor vehicles and motorcycles</v>
      </c>
      <c r="B8" s="60">
        <f>(data!I14 - data!G14) / data!G14 * 100</f>
        <v>-5.2631578947368354</v>
      </c>
      <c r="C8" s="21">
        <f>(data!K14 - data!I14) / data!I14 * 100</f>
        <v>-33.333333333333336</v>
      </c>
      <c r="D8" s="21">
        <f>(data!M14 - data!K14) / data!K14 * 100</f>
        <v>-29.166666666666668</v>
      </c>
      <c r="E8" s="21">
        <f>(data!O14 - data!M14) / data!M14 * 100</f>
        <v>29.411764705882366</v>
      </c>
      <c r="F8" s="21">
        <f>(data!Q14 - data!O14) / data!O14 * 100</f>
        <v>22.727272727272727</v>
      </c>
      <c r="G8" s="21">
        <f>(data!S14 - data!Q14) / data!Q14 * 100</f>
        <v>14.814814814814811</v>
      </c>
      <c r="H8" s="21">
        <f>(data!U14 - data!S14) / data!S14 * 100</f>
        <v>16.129032258064516</v>
      </c>
      <c r="I8" s="21">
        <f>(data!W14 - data!U14) / data!U14 * 100</f>
        <v>13.888888888888875</v>
      </c>
      <c r="J8" s="21">
        <f>(data!Y14 - data!W14) / data!W14 * 100</f>
        <v>12.195121951219514</v>
      </c>
      <c r="K8" s="21">
        <f>(data!AA14 - data!Y14) / data!Y14 * 100</f>
        <v>-30.434782608695642</v>
      </c>
      <c r="L8" s="21">
        <f>(data!AC14 - data!AA14) / data!AA14 * 100</f>
        <v>78.125</v>
      </c>
      <c r="M8" s="21">
        <f>(data!AE14 - data!AC14) / data!AC14 * 100</f>
        <v>29.824561403508774</v>
      </c>
      <c r="N8" s="21">
        <f>(data!AG14 - data!AE14) / data!AE14 * 100</f>
        <v>-12.162162162162167</v>
      </c>
      <c r="O8" s="21">
        <f>(data!AI14 - data!AG14) / data!AG14 * 100</f>
        <v>-7.6923076923076925</v>
      </c>
      <c r="P8" s="21">
        <f>(data!AK14 - data!AI14) / data!AI14 * 100</f>
        <v>-3.3333333333333361</v>
      </c>
      <c r="Q8" s="49">
        <f>(data!AM14 - data!AK14) / data!AK14 * 100</f>
        <v>-34.482758620689658</v>
      </c>
    </row>
    <row r="9" spans="1:17" x14ac:dyDescent="0.3">
      <c r="A9" s="64" t="str">
        <f>data!F15</f>
        <v>Transportation and storage</v>
      </c>
      <c r="B9" s="60">
        <f>(data!I15 - data!G15) / data!G15 * 100</f>
        <v>-9.0909090909090988</v>
      </c>
      <c r="C9" s="21">
        <f>(data!K15 - data!I15) / data!I15 * 100</f>
        <v>-30.000000000000004</v>
      </c>
      <c r="D9" s="21">
        <f>(data!M15 - data!K15) / data!K15 * 100</f>
        <v>-28.571428571428566</v>
      </c>
      <c r="E9" s="21">
        <f>(data!O15 - data!M15) / data!M15 * 100</f>
        <v>10.000000000000009</v>
      </c>
      <c r="F9" s="21">
        <f>(data!Q15 - data!O15) / data!O15 * 100</f>
        <v>45.454545454545453</v>
      </c>
      <c r="G9" s="21">
        <f>(data!S15 - data!Q15) / data!Q15 * 100</f>
        <v>-6.2500000000000053</v>
      </c>
      <c r="H9" s="21">
        <f>(data!U15 - data!S15) / data!S15 * 100</f>
        <v>80.000000000000014</v>
      </c>
      <c r="I9" s="21">
        <f>(data!W15 - data!U15) / data!U15 * 100</f>
        <v>7.4074074074073977</v>
      </c>
      <c r="J9" s="21">
        <f>(data!Y15 - data!W15) / data!W15 * 100</f>
        <v>27.586206896551737</v>
      </c>
      <c r="K9" s="21">
        <f>(data!AA15 - data!Y15) / data!Y15 * 100</f>
        <v>-32.432432432432435</v>
      </c>
      <c r="L9" s="21">
        <f>(data!AC15 - data!AA15) / data!AA15 * 100</f>
        <v>63.999999999999993</v>
      </c>
      <c r="M9" s="21">
        <f>(data!AE15 - data!AC15) / data!AC15 * 100</f>
        <v>24.390243902439028</v>
      </c>
      <c r="N9" s="21">
        <f>(data!AG15 - data!AE15) / data!AE15 * 100</f>
        <v>1.960784313725501</v>
      </c>
      <c r="O9" s="21">
        <f>(data!AI15 - data!AG15) / data!AG15 * 100</f>
        <v>7.6923076923076819</v>
      </c>
      <c r="P9" s="21">
        <f>(data!AK15 - data!AI15) / data!AI15 * 100</f>
        <v>-14.285714285714283</v>
      </c>
      <c r="Q9" s="49">
        <f>(data!AM15 - data!AK15) / data!AK15 * 100</f>
        <v>-54.166666666666664</v>
      </c>
    </row>
    <row r="10" spans="1:17" x14ac:dyDescent="0.3">
      <c r="A10" s="64" t="str">
        <f>data!F16</f>
        <v>Accommodation and food service activities</v>
      </c>
      <c r="B10" s="60">
        <f>(data!I16 - data!G16) / data!G16 * 100</f>
        <v>18.421052631578952</v>
      </c>
      <c r="C10" s="21">
        <f>(data!K16 - data!I16) / data!I16 * 100</f>
        <v>-15.555555555555559</v>
      </c>
      <c r="D10" s="21">
        <f>(data!M16 - data!K16) / data!K16 * 100</f>
        <v>-13.157894736842104</v>
      </c>
      <c r="E10" s="21">
        <f>(data!O16 - data!M16) / data!M16 * 100</f>
        <v>12.121212121212132</v>
      </c>
      <c r="F10" s="21">
        <f>(data!Q16 - data!O16) / data!O16 * 100</f>
        <v>-2.7027027027027049</v>
      </c>
      <c r="G10" s="21">
        <f>(data!S16 - data!Q16) / data!Q16 * 100</f>
        <v>16.666666666666668</v>
      </c>
      <c r="H10" s="21">
        <f>(data!U16 - data!S16) / data!S16 * 100</f>
        <v>52.380952380952387</v>
      </c>
      <c r="I10" s="21">
        <f>(data!W16 - data!U16) / data!U16 * 100</f>
        <v>14.062499999999991</v>
      </c>
      <c r="J10" s="21">
        <f>(data!Y16 - data!W16) / data!W16 * 100</f>
        <v>12.328767123287664</v>
      </c>
      <c r="K10" s="21">
        <f>(data!AA16 - data!Y16) / data!Y16 * 100</f>
        <v>-39.024390243902438</v>
      </c>
      <c r="L10" s="21">
        <f>(data!AC16 - data!AA16) / data!AA16 * 100</f>
        <v>80</v>
      </c>
      <c r="M10" s="21">
        <f>(data!AE16 - data!AC16) / data!AC16 * 100</f>
        <v>31.111111111111118</v>
      </c>
      <c r="N10" s="21">
        <f>(data!AG16 - data!AE16) / data!AE16 * 100</f>
        <v>19.491525423728802</v>
      </c>
      <c r="O10" s="21">
        <f>(data!AI16 - data!AG16) / data!AG16 * 100</f>
        <v>-20.567375886524825</v>
      </c>
      <c r="P10" s="21">
        <f>(data!AK16 - data!AI16) / data!AI16 * 100</f>
        <v>-2.6785714285714191</v>
      </c>
      <c r="Q10" s="49">
        <f>(data!AM16 - data!AK16) / data!AK16 * 100</f>
        <v>-65.137614678899084</v>
      </c>
    </row>
    <row r="11" spans="1:17" ht="14.4" customHeight="1" x14ac:dyDescent="0.3">
      <c r="A11" s="64" t="str">
        <f>data!F17</f>
        <v>Information and communication services</v>
      </c>
      <c r="B11" s="60">
        <f>(data!I17 - data!G17) / data!G17 * 100</f>
        <v>48.148148148148138</v>
      </c>
      <c r="C11" s="21">
        <f>(data!K17 - data!I17) / data!I17 * 100</f>
        <v>-40</v>
      </c>
      <c r="D11" s="21">
        <f>(data!M17 - data!K17) / data!K17 * 100</f>
        <v>-8.3333333333333233</v>
      </c>
      <c r="E11" s="21">
        <f>(data!O17 - data!M17) / data!M17 * 100</f>
        <v>31.818181818181802</v>
      </c>
      <c r="F11" s="21">
        <f>(data!Q17 - data!O17) / data!O17 * 100</f>
        <v>68.965517241379331</v>
      </c>
      <c r="G11" s="21">
        <f>(data!S17 - data!Q17) / data!Q17 * 100</f>
        <v>0</v>
      </c>
      <c r="H11" s="21">
        <f>(data!U17 - data!S17) / data!S17 * 100</f>
        <v>22.448979591836725</v>
      </c>
      <c r="I11" s="21">
        <f>(data!W17 - data!U17) / data!U17 * 100</f>
        <v>13.33333333333333</v>
      </c>
      <c r="J11" s="21">
        <f>(data!Y17 - data!W17) / data!W17 * 100</f>
        <v>5.8823529411764763</v>
      </c>
      <c r="K11" s="21">
        <f>(data!AA17 - data!Y17) / data!Y17 * 100</f>
        <v>-33.333333333333336</v>
      </c>
      <c r="L11" s="21">
        <f>(data!AC17 - data!AA17) / data!AA17 * 100</f>
        <v>77.083333333333343</v>
      </c>
      <c r="M11" s="21">
        <f>(data!AE17 - data!AC17) / data!AC17 * 100</f>
        <v>28.235294117647065</v>
      </c>
      <c r="N11" s="21">
        <f>(data!AG17 - data!AE17) / data!AE17 * 100</f>
        <v>-3.6697247706422047</v>
      </c>
      <c r="O11" s="21">
        <f>(data!AI17 - data!AG17) / data!AG17 * 100</f>
        <v>-23.809523809523807</v>
      </c>
      <c r="P11" s="21">
        <f>(data!AK17 - data!AI17) / data!AI17 * 100</f>
        <v>-8.7500000000000018</v>
      </c>
      <c r="Q11" s="49">
        <f>(data!AM17 - data!AK17) / data!AK17 * 100</f>
        <v>-63.013698630136986</v>
      </c>
    </row>
    <row r="12" spans="1:17" x14ac:dyDescent="0.3">
      <c r="A12" s="64" t="str">
        <f>data!F18</f>
        <v>Financial and insurance activities</v>
      </c>
      <c r="B12" s="60">
        <f>(data!I18 - data!G18) / data!G18 * 100</f>
        <v>-20.833333333333336</v>
      </c>
      <c r="C12" s="21">
        <f>(data!K18 - data!I18) / data!I18 * 100</f>
        <v>-31.578947368421044</v>
      </c>
      <c r="D12" s="21">
        <f>(data!M18 - data!K18) / data!K18 * 100</f>
        <v>0</v>
      </c>
      <c r="E12" s="21">
        <f>(data!O18 - data!M18) / data!M18 * 100</f>
        <v>0</v>
      </c>
      <c r="F12" s="21">
        <f>(data!Q18 - data!O18) / data!O18 * 100</f>
        <v>53.846153846153847</v>
      </c>
      <c r="G12" s="21">
        <f>(data!S18 - data!Q18) / data!Q18 * 100</f>
        <v>10.000000000000009</v>
      </c>
      <c r="H12" s="21">
        <f>(data!U18 - data!S18) / data!S18 * 100</f>
        <v>27.272727272727256</v>
      </c>
      <c r="I12" s="21">
        <f>(data!W18 - data!U18) / data!U18 * 100</f>
        <v>7.1428571428571495</v>
      </c>
      <c r="J12" s="21">
        <f>(data!Y18 - data!W18) / data!W18 * 100</f>
        <v>-16.666666666666664</v>
      </c>
      <c r="K12" s="21">
        <f>(data!AA18 - data!Y18) / data!Y18 * 100</f>
        <v>-15.999999999999998</v>
      </c>
      <c r="L12" s="21">
        <f>(data!AC18 - data!AA18) / data!AA18 * 100</f>
        <v>33.333333333333321</v>
      </c>
      <c r="M12" s="21">
        <f>(data!AE18 - data!AC18) / data!AC18 * 100</f>
        <v>21.428571428571434</v>
      </c>
      <c r="N12" s="21">
        <f>(data!AG18 - data!AE18) / data!AE18 * 100</f>
        <v>11.764705882352938</v>
      </c>
      <c r="O12" s="21">
        <f>(data!AI18 - data!AG18) / data!AG18 * 100</f>
        <v>-5.2631578947368354</v>
      </c>
      <c r="P12" s="21">
        <f>(data!AK18 - data!AI18) / data!AI18 * 100</f>
        <v>11.111111111111107</v>
      </c>
      <c r="Q12" s="49">
        <f>(data!AM18 - data!AK18) / data!AK18 * 100</f>
        <v>-40</v>
      </c>
    </row>
    <row r="13" spans="1:17" x14ac:dyDescent="0.3">
      <c r="A13" s="64" t="str">
        <f>data!F19</f>
        <v>Professional, scientific and technical activities</v>
      </c>
      <c r="B13" s="60">
        <f>(data!I19 - data!G19) / data!G19 * 100</f>
        <v>23.809523809523807</v>
      </c>
      <c r="C13" s="21">
        <f>(data!K19 - data!I19) / data!I19 * 100</f>
        <v>-32.692307692307693</v>
      </c>
      <c r="D13" s="21">
        <f>(data!M19 - data!K19) / data!K19 * 100</f>
        <v>-14.285714285714285</v>
      </c>
      <c r="E13" s="21">
        <f>(data!O19 - data!M19) / data!M19 * 100</f>
        <v>23.333333333333339</v>
      </c>
      <c r="F13" s="21">
        <f>(data!Q19 - data!O19) / data!O19 * 100</f>
        <v>35.135135135135123</v>
      </c>
      <c r="G13" s="21">
        <f>(data!S19 - data!Q19) / data!Q19 * 100</f>
        <v>10</v>
      </c>
      <c r="H13" s="21">
        <f>(data!U19 - data!S19) / data!S19 * 100</f>
        <v>9.0909090909090917</v>
      </c>
      <c r="I13" s="21">
        <f>(data!W19 - data!U19) / data!U19 * 100</f>
        <v>28.333333333333339</v>
      </c>
      <c r="J13" s="21">
        <f>(data!Y19 - data!W19) / data!W19 * 100</f>
        <v>-3.8961038961038938</v>
      </c>
      <c r="K13" s="21">
        <f>(data!AA19 - data!Y19) / data!Y19 * 100</f>
        <v>-14.864864864864872</v>
      </c>
      <c r="L13" s="21">
        <f>(data!AC19 - data!AA19) / data!AA19 * 100</f>
        <v>68.253968253968253</v>
      </c>
      <c r="M13" s="21">
        <f>(data!AE19 - data!AC19) / data!AC19 * 100</f>
        <v>16.037735849056613</v>
      </c>
      <c r="N13" s="21">
        <f>(data!AG19 - data!AE19) / data!AE19 * 100</f>
        <v>-11.382113821138214</v>
      </c>
      <c r="O13" s="21">
        <f>(data!AI19 - data!AG19) / data!AG19 * 100</f>
        <v>-8.256880733944957</v>
      </c>
      <c r="P13" s="21">
        <f>(data!AK19 - data!AI19) / data!AI19 * 100</f>
        <v>-9.0000000000000036</v>
      </c>
      <c r="Q13" s="49">
        <f>(data!AM19 - data!AK19) / data!AK19 * 100</f>
        <v>-53.846153846153847</v>
      </c>
    </row>
    <row r="14" spans="1:17" x14ac:dyDescent="0.3">
      <c r="A14" s="64" t="str">
        <f>data!F20</f>
        <v>Rental, travel agency, business support services</v>
      </c>
      <c r="B14" s="60">
        <f>(data!I20 - data!G20) / data!G20 * 100</f>
        <v>44.827586206896562</v>
      </c>
      <c r="C14" s="21">
        <f>(data!K20 - data!I20) / data!I20 * 100</f>
        <v>-66.666666666666671</v>
      </c>
      <c r="D14" s="21">
        <f>(data!M20 - data!K20) / data!K20 * 100</f>
        <v>0</v>
      </c>
      <c r="E14" s="21">
        <f>(data!O20 - data!M20) / data!M20 * 100</f>
        <v>7.1428571428571495</v>
      </c>
      <c r="F14" s="21">
        <f>(data!Q20 - data!O20) / data!O20 * 100</f>
        <v>40.000000000000007</v>
      </c>
      <c r="G14" s="21">
        <f>(data!S20 - data!Q20) / data!Q20 * 100</f>
        <v>9.5238095238095113</v>
      </c>
      <c r="H14" s="21">
        <f>(data!U20 - data!S20) / data!S20 * 100</f>
        <v>60.869565217391319</v>
      </c>
      <c r="I14" s="21">
        <f>(data!W20 - data!U20) / data!U20 * 100</f>
        <v>2.7027027027026933</v>
      </c>
      <c r="J14" s="21">
        <f>(data!Y20 - data!W20) / data!W20 * 100</f>
        <v>-7.8947368421052584</v>
      </c>
      <c r="K14" s="21">
        <f>(data!AA20 - data!Y20) / data!Y20 * 100</f>
        <v>-34.285714285714292</v>
      </c>
      <c r="L14" s="21">
        <f>(data!AC20 - data!AA20) / data!AA20 * 100</f>
        <v>113.04347826086961</v>
      </c>
      <c r="M14" s="21">
        <f>(data!AE20 - data!AC20) / data!AC20 * 100</f>
        <v>22.448979591836725</v>
      </c>
      <c r="N14" s="21">
        <f>(data!AG20 - data!AE20) / data!AE20 * 100</f>
        <v>1.6666666666666607</v>
      </c>
      <c r="O14" s="21">
        <f>(data!AI20 - data!AG20) / data!AG20 * 100</f>
        <v>-3.2786885245901525</v>
      </c>
      <c r="P14" s="21">
        <f>(data!AK20 - data!AI20) / data!AI20 * 100</f>
        <v>-3.3898305084745792</v>
      </c>
      <c r="Q14" s="49">
        <f>(data!AM20 - data!AK20) / data!AK20 * 100</f>
        <v>-49.122807017543863</v>
      </c>
    </row>
    <row r="15" spans="1:17" x14ac:dyDescent="0.3">
      <c r="A15" s="64" t="str">
        <f>data!F21</f>
        <v>Real estate, professional and rental activities (Grouped)</v>
      </c>
      <c r="B15" s="60">
        <f>(data!I21 - data!G21) / data!G21 * 100</f>
        <v>33.333333333333357</v>
      </c>
      <c r="C15" s="21">
        <f>(data!K21 - data!I21) / data!I21 * 100</f>
        <v>-56.81818181818182</v>
      </c>
      <c r="D15" s="21">
        <f>(data!M21 - data!K21) / data!K21 * 100</f>
        <v>0</v>
      </c>
      <c r="E15" s="21">
        <f>(data!O21 - data!M21) / data!M21 * 100</f>
        <v>5.2631578947368478</v>
      </c>
      <c r="F15" s="21">
        <f>(data!Q21 - data!O21) / data!O21 * 100</f>
        <v>50</v>
      </c>
      <c r="G15" s="21">
        <f>(data!S21 - data!Q21) / data!Q21 * 100</f>
        <v>13.33333333333333</v>
      </c>
      <c r="H15" s="21">
        <f>(data!U21 - data!S21) / data!S21 * 100</f>
        <v>32.352941176470587</v>
      </c>
      <c r="I15" s="21">
        <f>(data!W21 - data!U21) / data!U21 * 100</f>
        <v>11.111111111111111</v>
      </c>
      <c r="J15" s="21">
        <f>(data!Y21 - data!W21) / data!W21 * 100</f>
        <v>-4.0000000000000036</v>
      </c>
      <c r="K15" s="21">
        <f>(data!AA21 - data!Y21) / data!Y21 * 100</f>
        <v>-22.916666666666661</v>
      </c>
      <c r="L15" s="21">
        <f>(data!AC21 - data!AA21) / data!AA21 * 100</f>
        <v>81.081081081081081</v>
      </c>
      <c r="M15" s="21">
        <f>(data!AE21 - data!AC21) / data!AC21 * 100</f>
        <v>17.910447761194032</v>
      </c>
      <c r="N15" s="21">
        <f>(data!AG21 - data!AE21) / data!AE21 * 100</f>
        <v>-2.5316455696202551</v>
      </c>
      <c r="O15" s="21">
        <f>(data!AI21 - data!AG21) / data!AG21 * 100</f>
        <v>-5.1948051948051992</v>
      </c>
      <c r="P15" s="21">
        <f>(data!AK21 - data!AI21) / data!AI21 * 100</f>
        <v>-5.4794520547945131</v>
      </c>
      <c r="Q15" s="49">
        <f>(data!AM21 - data!AK21) / data!AK21 * 100</f>
        <v>-52.173913043478272</v>
      </c>
    </row>
    <row r="16" spans="1:17" x14ac:dyDescent="0.3">
      <c r="A16" s="64" t="str">
        <f>data!F22</f>
        <v>Education</v>
      </c>
      <c r="B16" s="60">
        <f>(data!I22 - data!G22) / data!G22 * 100</f>
        <v>77.777777777777757</v>
      </c>
      <c r="C16" s="21">
        <f>(data!K22 - data!I22) / data!I22 * 100</f>
        <v>-60.416666666666664</v>
      </c>
      <c r="D16" s="21">
        <f>(data!M22 - data!K22) / data!K22 * 100</f>
        <v>21.052631578947363</v>
      </c>
      <c r="E16" s="21">
        <f>(data!O22 - data!M22) / data!M22 * 100</f>
        <v>-26.086956521739125</v>
      </c>
      <c r="F16" s="21">
        <f>(data!Q22 - data!O22) / data!O22 * 100</f>
        <v>88.235294117647072</v>
      </c>
      <c r="G16" s="21">
        <f>(data!S22 - data!Q22) / data!Q22 * 100</f>
        <v>28.124999999999982</v>
      </c>
      <c r="H16" s="21">
        <f>(data!U22 - data!S22) / data!S22 * 100</f>
        <v>-7.317073170731704</v>
      </c>
      <c r="I16" s="21">
        <f>(data!W22 - data!U22) / data!U22 * 100</f>
        <v>36.842105263157904</v>
      </c>
      <c r="J16" s="21">
        <f>(data!Y22 - data!W22) / data!W22 * 100</f>
        <v>19.23076923076923</v>
      </c>
      <c r="K16" s="21">
        <f>(data!AA22 - data!Y22) / data!Y22 * 100</f>
        <v>-48.387096774193544</v>
      </c>
      <c r="L16" s="21">
        <f>(data!AC22 - data!AA22) / data!AA22 * 100</f>
        <v>100</v>
      </c>
      <c r="M16" s="21">
        <f>(data!AE22 - data!AC22) / data!AC22 * 100</f>
        <v>4.6874999999999973</v>
      </c>
      <c r="N16" s="21">
        <f>(data!AG22 - data!AE22) / data!AE22 * 100</f>
        <v>37.313432835820883</v>
      </c>
      <c r="O16" s="21">
        <f>(data!AI22 - data!AG22) / data!AG22 * 100</f>
        <v>-13.043478260869559</v>
      </c>
      <c r="P16" s="21">
        <f>(data!AK22 - data!AI22) / data!AI22 * 100</f>
        <v>-28.749999999999996</v>
      </c>
      <c r="Q16" s="49">
        <f>(data!AM22 - data!AK22) / data!AK22 * 100</f>
        <v>-52.631578947368418</v>
      </c>
    </row>
    <row r="17" spans="1:17" x14ac:dyDescent="0.3">
      <c r="A17" s="64" t="str">
        <f>data!F23</f>
        <v>Human health and social work activities</v>
      </c>
      <c r="B17" s="60">
        <f>(data!I23 - data!G23) / data!G23 * 100</f>
        <v>-9.3023255813953476</v>
      </c>
      <c r="C17" s="21">
        <f>(data!K23 - data!I23) / data!I23 * 100</f>
        <v>-51.282051282051292</v>
      </c>
      <c r="D17" s="21">
        <f>(data!M23 - data!K23) / data!K23 * 100</f>
        <v>0</v>
      </c>
      <c r="E17" s="21">
        <f>(data!O23 - data!M23) / data!M23 * 100</f>
        <v>10.526315789473696</v>
      </c>
      <c r="F17" s="21">
        <f>(data!Q23 - data!O23) / data!O23 * 100</f>
        <v>-28.571428571428577</v>
      </c>
      <c r="G17" s="21">
        <f>(data!S23 - data!Q23) / data!Q23 * 100</f>
        <v>40.000000000000007</v>
      </c>
      <c r="H17" s="21">
        <f>(data!U23 - data!S23) / data!S23 * 100</f>
        <v>128.57142857142856</v>
      </c>
      <c r="I17" s="21">
        <f>(data!W23 - data!U23) / data!U23 * 100</f>
        <v>-20.833333333333336</v>
      </c>
      <c r="J17" s="21">
        <f>(data!Y23 - data!W23) / data!W23 * 100</f>
        <v>5.2631578947368478</v>
      </c>
      <c r="K17" s="21">
        <f>(data!AA23 - data!Y23) / data!Y23 * 100</f>
        <v>35.000000000000007</v>
      </c>
      <c r="L17" s="21">
        <f>(data!AC23 - data!AA23) / data!AA23 * 100</f>
        <v>16.666666666666654</v>
      </c>
      <c r="M17" s="21">
        <f>(data!AE23 - data!AC23) / data!AC23 * 100</f>
        <v>-1.5873015873015817</v>
      </c>
      <c r="N17" s="21">
        <f>(data!AG23 - data!AE23) / data!AE23 * 100</f>
        <v>8.064516129032258</v>
      </c>
      <c r="O17" s="21">
        <f>(data!AI23 - data!AG23) / data!AG23 * 100</f>
        <v>-4.4776119402985044</v>
      </c>
      <c r="P17" s="21">
        <f>(data!AK23 - data!AI23) / data!AI23 * 100</f>
        <v>9.3749999999999947</v>
      </c>
      <c r="Q17" s="49">
        <f>(data!AM23 - data!AK23) / data!AK23 * 100</f>
        <v>-38.571428571428577</v>
      </c>
    </row>
    <row r="18" spans="1:17" x14ac:dyDescent="0.3">
      <c r="A18" s="64" t="str">
        <f>data!F24</f>
        <v>Arts, sports, entertainment and recreation</v>
      </c>
      <c r="B18" s="60">
        <f>(data!I24 - data!G24) / data!G24 * 100</f>
        <v>-12.068965517241383</v>
      </c>
      <c r="C18" s="21">
        <f>(data!K24 - data!I24) / data!I24 * 100</f>
        <v>-43.13725490196078</v>
      </c>
      <c r="D18" s="21">
        <f>(data!M24 - data!K24) / data!K24 * 100</f>
        <v>-17.241379310344829</v>
      </c>
      <c r="E18" s="21">
        <f>(data!O24 - data!M24) / data!M24 * 100</f>
        <v>79.166666666666657</v>
      </c>
      <c r="F18" s="21">
        <f>(data!Q24 - data!O24) / data!O24 * 100</f>
        <v>-18.604651162790695</v>
      </c>
      <c r="G18" s="21">
        <f>(data!S24 - data!Q24) / data!Q24 * 100</f>
        <v>48.571428571428577</v>
      </c>
      <c r="H18" s="21">
        <f>(data!U24 - data!S24) / data!S24 * 100</f>
        <v>53.846153846153847</v>
      </c>
      <c r="I18" s="21">
        <f>(data!W24 - data!U24) / data!U24 * 100</f>
        <v>-5.0000000000000044</v>
      </c>
      <c r="J18" s="21">
        <f>(data!Y24 - data!W24) / data!W24 * 100</f>
        <v>-6.5789473684210522</v>
      </c>
      <c r="K18" s="21">
        <f>(data!AA24 - data!Y24) / data!Y24 * 100</f>
        <v>-39.436619718309856</v>
      </c>
      <c r="L18" s="21">
        <f>(data!AC24 - data!AA24) / data!AA24 * 100</f>
        <v>39.534883720930239</v>
      </c>
      <c r="M18" s="21">
        <f>(data!AE24 - data!AC24) / data!AC24 * 100</f>
        <v>63.333333333333343</v>
      </c>
      <c r="N18" s="21">
        <f>(data!AG24 - data!AE24) / data!AE24 * 100</f>
        <v>-9.1836734693877577</v>
      </c>
      <c r="O18" s="21">
        <f>(data!AI24 - data!AG24) / data!AG24 * 100</f>
        <v>-32.584269662921351</v>
      </c>
      <c r="P18" s="21">
        <f>(data!AK24 - data!AI24) / data!AI24 * 100</f>
        <v>20.000000000000004</v>
      </c>
      <c r="Q18" s="49">
        <f>(data!AM24 - data!AK24) / data!AK24 * 100</f>
        <v>-19.444444444444446</v>
      </c>
    </row>
    <row r="19" spans="1:17" ht="15" thickBot="1" x14ac:dyDescent="0.35">
      <c r="A19" s="65" t="str">
        <f>data!F25</f>
        <v>Other service activities</v>
      </c>
      <c r="B19" s="61">
        <f>(data!I25 - data!G25) / data!G25 * 100</f>
        <v>-17.142857142857146</v>
      </c>
      <c r="C19" s="15">
        <f>(data!K25 - data!I25) / data!I25 * 100</f>
        <v>-51.724137931034484</v>
      </c>
      <c r="D19" s="15">
        <f>(data!M25 - data!K25) / data!K25 * 100</f>
        <v>-21.428571428571416</v>
      </c>
      <c r="E19" s="15">
        <f>(data!O25 - data!M25) / data!M25 * 100</f>
        <v>118.18181818181816</v>
      </c>
      <c r="F19" s="15">
        <f>(data!Q25 - data!O25) / data!O25 * 100</f>
        <v>29.166666666666675</v>
      </c>
      <c r="G19" s="15">
        <f>(data!S25 - data!Q25) / data!Q25 * 100</f>
        <v>0</v>
      </c>
      <c r="H19" s="15">
        <f>(data!U25 - data!S25) / data!S25 * 100</f>
        <v>77.41935483870968</v>
      </c>
      <c r="I19" s="15">
        <f>(data!W25 - data!U25) / data!U25 * 100</f>
        <v>-9.0909090909090917</v>
      </c>
      <c r="J19" s="15">
        <f>(data!Y25 - data!W25) / data!W25 * 100</f>
        <v>-15.999999999999998</v>
      </c>
      <c r="K19" s="15">
        <f>(data!AA25 - data!Y25) / data!Y25 * 100</f>
        <v>-14.285714285714288</v>
      </c>
      <c r="L19" s="15">
        <f>(data!AC25 - data!AA25) / data!AA25 * 100</f>
        <v>66.666666666666657</v>
      </c>
      <c r="M19" s="15">
        <f>(data!AE25 - data!AC25) / data!AC25 * 100</f>
        <v>51.666666666666657</v>
      </c>
      <c r="N19" s="15">
        <f>(data!AG25 - data!AE25) / data!AE25 * 100</f>
        <v>4.3956043956043995</v>
      </c>
      <c r="O19" s="15">
        <f>(data!AI25 - data!AG25) / data!AG25 * 100</f>
        <v>-9.4736842105263186</v>
      </c>
      <c r="P19" s="15">
        <f>(data!AK25 - data!AI25) / data!AI25 * 100</f>
        <v>-13.953488372093014</v>
      </c>
      <c r="Q19" s="50">
        <f>(data!AM25 - data!AK25) / data!AK25 * 100</f>
        <v>-52.702702702702709</v>
      </c>
    </row>
    <row r="20" spans="1:17" ht="15" thickBot="1" x14ac:dyDescent="0.35"/>
    <row r="21" spans="1:17" ht="15" thickBot="1" x14ac:dyDescent="0.35">
      <c r="A21" s="66" t="s">
        <v>23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</row>
    <row r="22" spans="1:17" ht="15" thickBot="1" x14ac:dyDescent="0.35">
      <c r="A22" s="62"/>
      <c r="B22" s="58">
        <v>2011</v>
      </c>
      <c r="C22" s="53">
        <v>2012</v>
      </c>
      <c r="D22" s="53">
        <v>2013</v>
      </c>
      <c r="E22" s="53">
        <v>2014</v>
      </c>
      <c r="F22" s="53">
        <v>2015</v>
      </c>
      <c r="G22" s="53">
        <v>2016</v>
      </c>
      <c r="H22" s="53">
        <v>2017</v>
      </c>
      <c r="I22" s="53">
        <v>2018</v>
      </c>
      <c r="J22" s="53">
        <v>2019</v>
      </c>
      <c r="K22" s="53">
        <v>2020</v>
      </c>
      <c r="L22" s="53">
        <v>2021</v>
      </c>
      <c r="M22" s="53">
        <v>2022</v>
      </c>
      <c r="N22" s="53">
        <v>2023</v>
      </c>
      <c r="O22" s="53">
        <v>2024</v>
      </c>
      <c r="P22" s="53">
        <v>2025</v>
      </c>
      <c r="Q22" s="54">
        <v>2026</v>
      </c>
    </row>
    <row r="23" spans="1:17" x14ac:dyDescent="0.3">
      <c r="A23" s="63" t="str">
        <f>data!E9</f>
        <v>SECONDARY SECTOR</v>
      </c>
      <c r="B23" s="59">
        <f>(data!J9-data!H9)/data!H9*100</f>
        <v>-0.65274151436031325</v>
      </c>
      <c r="C23" s="51">
        <f>(data!L9-data!J9)/data!J9*100</f>
        <v>-3.2134750925815316</v>
      </c>
      <c r="D23" s="51">
        <f>(data!N9-data!L9)/data!L9*100</f>
        <v>-3.7603883814695962</v>
      </c>
      <c r="E23" s="51">
        <f>(data!P9-data!N9)/data!N9*100</f>
        <v>0.14107387140902872</v>
      </c>
      <c r="F23" s="51">
        <f>(data!R9-data!P9)/data!P9*100</f>
        <v>-8.5378868729989333E-3</v>
      </c>
      <c r="G23" s="51">
        <f>(data!T9-data!R9)/data!R9*100</f>
        <v>-8.5386158903641721E-2</v>
      </c>
      <c r="H23" s="51">
        <f>(data!V9-data!T9)/data!T9*100</f>
        <v>0.82040764004614797</v>
      </c>
      <c r="I23" s="51">
        <f>(data!X9-data!V9)/data!V9*100</f>
        <v>1.313837677474041</v>
      </c>
      <c r="J23" s="51">
        <f>(data!Z9-data!X9)/data!X9*100</f>
        <v>1.2549675800041833E-2</v>
      </c>
      <c r="K23" s="51">
        <f>(data!AB9-data!Z9)/data!Z9*100</f>
        <v>-1.0582231888907478</v>
      </c>
      <c r="L23" s="51">
        <f>(data!AD9-data!AB9)/data!AB9*100</f>
        <v>1.4753751849503276</v>
      </c>
      <c r="M23" s="51">
        <f>(data!AF9-data!AD9)/data!AD9*100</f>
        <v>3.2786202299616729</v>
      </c>
      <c r="N23" s="51">
        <f>(data!AH9-data!AF9)/data!AF9*100</f>
        <v>1.3956677826630632</v>
      </c>
      <c r="O23" s="51">
        <f>(data!AJ9-data!AH9)/data!AH9*100</f>
        <v>1.364522417153996</v>
      </c>
      <c r="P23" s="51">
        <f>(data!AL9-data!AJ9)/data!AJ9*100</f>
        <v>0.77708006279434849</v>
      </c>
      <c r="Q23" s="52">
        <f>(data!AN9-data!AL9)/data!AL9*100</f>
        <v>-1.5577537191370043</v>
      </c>
    </row>
    <row r="24" spans="1:17" ht="15" thickBot="1" x14ac:dyDescent="0.35">
      <c r="A24" s="65" t="str">
        <f>data!E14</f>
        <v>TERTIARY SECTOR</v>
      </c>
      <c r="B24" s="61">
        <f>(data!J14-data!H14)/data!H14*100</f>
        <v>0.85334914829824393</v>
      </c>
      <c r="C24" s="15">
        <f>(data!L14-data!J14)/data!J14*100</f>
        <v>0.53087226396602416</v>
      </c>
      <c r="D24" s="15">
        <f>(data!N14-data!L14)/data!L14*100</f>
        <v>-1.0398895117393776</v>
      </c>
      <c r="E24" s="15">
        <f>(data!P14-data!N14)/data!N14*100</f>
        <v>0.29061653394630982</v>
      </c>
      <c r="F24" s="15">
        <f>(data!R14-data!P14)/data!P14*100</f>
        <v>1.0968861530401754</v>
      </c>
      <c r="G24" s="15">
        <f>(data!T14-data!R14)/data!R14*100</f>
        <v>1.8558103381267004</v>
      </c>
      <c r="H24" s="15">
        <f>(data!V14-data!T14)/data!T14*100</f>
        <v>1.5835161690355815</v>
      </c>
      <c r="I24" s="15">
        <f>(data!X14-data!V14)/data!V14*100</f>
        <v>0.91557892759883563</v>
      </c>
      <c r="J24" s="15">
        <f>(data!Z14-data!X14)/data!X14*100</f>
        <v>0.67308736177670248</v>
      </c>
      <c r="K24" s="15">
        <f>(data!AB14-data!Z14)/data!Z14*100</f>
        <v>-4.1131976645664192</v>
      </c>
      <c r="M24" s="15">
        <f>(data!AF14-data!AD14)/data!AD14*100</f>
        <v>2.5973818391061809</v>
      </c>
      <c r="N24" s="15">
        <f>(data!AH14-data!AF14)/data!AF14*100</f>
        <v>2.4739826758895744</v>
      </c>
      <c r="O24" s="15">
        <f>(data!AJ14-data!AH14)/data!AH14*100</f>
        <v>1.9353563609827293</v>
      </c>
      <c r="P24" s="15">
        <f>(data!AL14-data!AJ14)/data!AJ14*100</f>
        <v>0.629390445793375</v>
      </c>
      <c r="Q24" s="50">
        <f>(data!AN14-data!AL14)/data!AL14*100</f>
        <v>-10.032458389530317</v>
      </c>
    </row>
    <row r="25" spans="1:17" ht="15" thickBot="1" x14ac:dyDescent="0.35">
      <c r="L25" s="15">
        <f>(data!AD14-data!AB14)/data!AB14*100</f>
        <v>0.51411403691981428</v>
      </c>
    </row>
  </sheetData>
  <mergeCells count="2">
    <mergeCell ref="A21:Q21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GUI</vt:lpstr>
      <vt:lpstr>data</vt:lpstr>
      <vt:lpstr>demand_chart</vt:lpstr>
      <vt:lpstr>time_series</vt:lpstr>
      <vt:lpstr>percentage_difference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DAVIDE.NICOLODI</dc:creator>
  <cp:lastModifiedBy>Filippo Savoiani</cp:lastModifiedBy>
  <dcterms:created xsi:type="dcterms:W3CDTF">2026-03-24T13:15:35Z</dcterms:created>
  <dcterms:modified xsi:type="dcterms:W3CDTF">2026-04-20T23:40:48Z</dcterms:modified>
</cp:coreProperties>
</file>